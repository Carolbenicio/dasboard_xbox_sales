
<file path=[Content_Types].xml><?xml version="1.0" encoding="utf-8"?>
<Types xmlns="http://schemas.openxmlformats.org/package/2006/content-types">
  <Default Extension="xml" ContentType="application/xml"/>
  <Default Extension="svg" ContentType="image/svg+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pivotTables/pivotTable2.xml" ContentType="application/vnd.openxmlformats-officedocument.spreadsheetml.pivotTable+xml"/>
  <Override PartName="/xl/pivotTables/pivotTable1.xml" ContentType="application/vnd.openxmlformats-officedocument.spreadsheetml.pivotTable+xml"/>
  <Override PartName="/xl/slicers/slicer1.xml" ContentType="application/vnd.ms-excel.slicer+xml"/>
  <Override PartName="/xl/worksheets/sheet3.xml" ContentType="application/vnd.openxmlformats-officedocument.spreadsheetml.worksheet+xml"/>
  <Override PartName="/customXml/itemProps2.xml" ContentType="application/vnd.openxmlformats-officedocument.customXmlProperties+xml"/>
  <Override PartName="/xl/pivotTables/pivotTable3.xml" ContentType="application/vnd.openxmlformats-officedocument.spreadsheetml.pivotTable+xml"/>
  <Override PartName="/xl/pivotCache/pivotCacheDefinition1.xml" ContentType="application/vnd.openxmlformats-officedocument.spreadsheetml.pivotCacheDefinition+xml"/>
  <Override PartName="/xl/workbook.xml" ContentType="application/vnd.openxmlformats-officedocument.spreadsheetml.sheet.main+xml"/>
  <Override PartName="/xl/slicerCaches/slicerCache1.xml" ContentType="application/vnd.ms-excel.slicerCache+xml"/>
  <Override PartName="/docProps/core.xml" ContentType="application/vnd.openxmlformats-package.core-properties+xml"/>
  <Override PartName="/xl/charts/style1.xml" ContentType="application/vnd.ms-office.chartstyle+xml"/>
  <Override PartName="/xl/theme/theme1.xml" ContentType="application/vnd.openxmlformats-officedocument.theme+xml"/>
  <Override PartName="/xl/charts/colors1.xml" ContentType="application/vnd.ms-office.chartcolorstyle+xml"/>
  <Override PartName="/xl/tables/table1.xml" ContentType="application/vnd.openxmlformats-officedocument.spreadsheetml.table+xml"/>
  <Override PartName="/xl/pivotCache/pivotCacheRecords1.xml" ContentType="application/vnd.openxmlformats-officedocument.spreadsheetml.pivotCacheRecords+xml"/>
  <Override PartName="/xl/charts/chart1.xml" ContentType="application/vnd.openxmlformats-officedocument.drawingml.chart+xml"/>
  <Override PartName="/docProps/custom.xml" ContentType="application/vnd.openxmlformats-officedocument.custom-properties+xml"/>
  <Override PartName="/docProps/app.xml" ContentType="application/vnd.openxmlformats-officedocument.extended-properties+xml"/>
  <Override PartName="/xl/drawings/drawing3.xml" ContentType="application/vnd.openxmlformats-officedocument.drawing+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slicerCaches/slicerCache2.xml" ContentType="application/vnd.ms-excel.slicerCache+xml"/>
  <Override PartName="/customXml/itemProps1.xml" ContentType="application/vnd.openxmlformats-officedocument.customXmlProperties+xml"/>
  <Override PartName="/xl/worksheets/sheet2.xml" ContentType="application/vnd.openxmlformats-officedocument.spreadsheetml.worksheet+xml"/>
  <Override PartName="/customXml/itemProps3.xml" ContentType="application/vnd.openxmlformats-officedocument.customXml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1"/>
  <bookViews>
    <workbookView xWindow="360" yWindow="15" windowWidth="20955" windowHeight="9720" activeTab="2"/>
  </bookViews>
  <sheets>
    <sheet name="A̳ssets" sheetId="1" state="visible" r:id="rId7"/>
    <sheet name="B̳ases" sheetId="2" state="visible" r:id="rId8"/>
    <sheet name="dashboard" sheetId="3" state="visible" r:id="rId9"/>
  </sheets>
  <calcPr/>
  <pivotCaches>
    <pivotCache cacheId="0" r:id="rId1"/>
  </pivotCaches>
  <extLst>
    <ext xmlns:x14="http://schemas.microsoft.com/office/spreadsheetml/2009/9/main" uri="{BBE1A952-AA13-448e-AADC-164F8A28A991}">
      <x14:slicerCaches xmlns:x14="http://schemas.microsoft.com/office/spreadsheetml/2009/9/main">
        <x14:slicerCache r:id="rId2"/>
        <x14:slicerCache r:id="rId3"/>
      </x14:slicerCaches>
    </ext>
    <ext xmlns:x15="http://schemas.microsoft.com/office/spreadsheetml/2010/11/main" uri="{D0CA8CA8-9F24-4464-BF8E-62219DCF47F9}"/>
  </extLst>
</workbook>
</file>

<file path=xl/sharedStrings.xml><?xml version="1.0" encoding="utf-8"?>
<sst xmlns="http://schemas.openxmlformats.org/spreadsheetml/2006/main" count="319" uniqueCount="319">
  <si>
    <t xml:space="preserve">Paleta de Cores</t>
  </si>
  <si>
    <t xml:space="preserve"># 9BC848</t>
  </si>
  <si>
    <t xml:space="preserve">Xbox Color</t>
  </si>
  <si>
    <t xml:space="preserve"># E8E6E9</t>
  </si>
  <si>
    <t xml:space="preserve">negative zone</t>
  </si>
  <si>
    <t xml:space="preserve"># 22C55E</t>
  </si>
  <si>
    <t xml:space="preserve"># 2AE6B1</t>
  </si>
  <si>
    <t>Menus</t>
  </si>
  <si>
    <t xml:space="preserve"># 5BF6A8</t>
  </si>
  <si>
    <t>Logos</t>
  </si>
  <si>
    <t>ícones</t>
  </si>
  <si>
    <t xml:space="preserve">Subscriber ID</t>
  </si>
  <si>
    <t>Name</t>
  </si>
  <si>
    <t>Plan</t>
  </si>
  <si>
    <t xml:space="preserve">Start Date</t>
  </si>
  <si>
    <t xml:space="preserve">Auto Renewal</t>
  </si>
  <si>
    <t xml:space="preserve">Subscription Price</t>
  </si>
  <si>
    <t xml:space="preserve">Subscription Type</t>
  </si>
  <si>
    <t xml:space="preserve">EA Play Season Pass</t>
  </si>
  <si>
    <t xml:space="preserve">EA Play Season Pass
Price</t>
  </si>
  <si>
    <t xml:space="preserve">Minecraft Season Pass</t>
  </si>
  <si>
    <t xml:space="preserve">Minecraft Season Pass Price</t>
  </si>
  <si>
    <t xml:space="preserve">Coupon Value</t>
  </si>
  <si>
    <t xml:space="preserve">Total Value</t>
  </si>
  <si>
    <t xml:space="preserve">João Silva</t>
  </si>
  <si>
    <t>Ultimate</t>
  </si>
  <si>
    <t>Yes</t>
  </si>
  <si>
    <t>Monthly</t>
  </si>
  <si>
    <t xml:space="preserve">Maria Oliveira</t>
  </si>
  <si>
    <t>Core</t>
  </si>
  <si>
    <t>No</t>
  </si>
  <si>
    <t>Annual</t>
  </si>
  <si>
    <t>-</t>
  </si>
  <si>
    <t xml:space="preserve">Lucas Fernandes</t>
  </si>
  <si>
    <t>Standard</t>
  </si>
  <si>
    <t>Quarterly</t>
  </si>
  <si>
    <t xml:space="preserve">Ana Souza</t>
  </si>
  <si>
    <t xml:space="preserve">Pedro Gonçalves</t>
  </si>
  <si>
    <t xml:space="preserve">Felipe Costa</t>
  </si>
  <si>
    <t xml:space="preserve">Camila Ribeiro</t>
  </si>
  <si>
    <t xml:space="preserve">André Mendes</t>
  </si>
  <si>
    <t xml:space="preserve">Sofia Almeida</t>
  </si>
  <si>
    <t xml:space="preserve">Bruno Martins</t>
  </si>
  <si>
    <t xml:space="preserve">Rita Castro</t>
  </si>
  <si>
    <t xml:space="preserve">Marco Túlio</t>
  </si>
  <si>
    <t xml:space="preserve">Lívia Silveira</t>
  </si>
  <si>
    <t xml:space="preserve">Diogo Sousa</t>
  </si>
  <si>
    <t xml:space="preserve">Fernanda Lima</t>
  </si>
  <si>
    <t xml:space="preserve">Caio Pereira</t>
  </si>
  <si>
    <t xml:space="preserve">Beatriz Gomes</t>
  </si>
  <si>
    <t xml:space="preserve">Cesar Oliveira</t>
  </si>
  <si>
    <t xml:space="preserve">Débora Machado</t>
  </si>
  <si>
    <t xml:space="preserve">Eduardo Vargas</t>
  </si>
  <si>
    <t xml:space="preserve">Gabriela Santos</t>
  </si>
  <si>
    <t xml:space="preserve">Henrique Dias</t>
  </si>
  <si>
    <t xml:space="preserve">Isabela Moreira</t>
  </si>
  <si>
    <t xml:space="preserve">Joaquim Barbosa</t>
  </si>
  <si>
    <t xml:space="preserve">Lara Rocha</t>
  </si>
  <si>
    <t xml:space="preserve">Matheus Silva</t>
  </si>
  <si>
    <t xml:space="preserve">Nicole Costa</t>
  </si>
  <si>
    <t xml:space="preserve">Otávio Mendonça</t>
  </si>
  <si>
    <t xml:space="preserve">Paula Ferreira</t>
  </si>
  <si>
    <t xml:space="preserve">Raquel Alves</t>
  </si>
  <si>
    <t xml:space="preserve">Samuel Pires</t>
  </si>
  <si>
    <t xml:space="preserve">Tânia Barros</t>
  </si>
  <si>
    <t xml:space="preserve">Vinicius Lima</t>
  </si>
  <si>
    <t xml:space="preserve">Yasmin Teixeira</t>
  </si>
  <si>
    <t xml:space="preserve">Zé Carlos</t>
  </si>
  <si>
    <t xml:space="preserve">Amanda Nogueira</t>
  </si>
  <si>
    <t xml:space="preserve">Bruno Cavalheiro</t>
  </si>
  <si>
    <t xml:space="preserve">Carla Dias</t>
  </si>
  <si>
    <t xml:space="preserve">Diego Fontes</t>
  </si>
  <si>
    <t xml:space="preserve">Eunice Lima</t>
  </si>
  <si>
    <t xml:space="preserve">Fábio Martins</t>
  </si>
  <si>
    <t xml:space="preserve">Gisele Araújo</t>
  </si>
  <si>
    <t xml:space="preserve">Hélio Castro</t>
  </si>
  <si>
    <t xml:space="preserve">Ingrid Menezes</t>
  </si>
  <si>
    <t xml:space="preserve">Jorge Baptista</t>
  </si>
  <si>
    <t xml:space="preserve">Kléber Oliveira</t>
  </si>
  <si>
    <t xml:space="preserve">Luciana Freitas</t>
  </si>
  <si>
    <t xml:space="preserve">Márcia Eller</t>
  </si>
  <si>
    <t xml:space="preserve">Nilo Peçanha</t>
  </si>
  <si>
    <t xml:space="preserve">Oscar Neves</t>
  </si>
  <si>
    <t xml:space="preserve">Patrícia Soares</t>
  </si>
  <si>
    <t xml:space="preserve">Quirino Gonçalves</t>
  </si>
  <si>
    <t xml:space="preserve">Raul Machado</t>
  </si>
  <si>
    <t xml:space="preserve">Sônia Lobo</t>
  </si>
  <si>
    <t xml:space="preserve">Tiago Ramos</t>
  </si>
  <si>
    <t xml:space="preserve">Ugo Pires</t>
  </si>
  <si>
    <t xml:space="preserve">Valéria Nobre</t>
  </si>
  <si>
    <t xml:space="preserve">William Siqueira</t>
  </si>
  <si>
    <t xml:space="preserve">Xuxa Meneghel</t>
  </si>
  <si>
    <t xml:space="preserve">Yara Figueiredo</t>
  </si>
  <si>
    <t xml:space="preserve">Zacarias Alves</t>
  </si>
  <si>
    <t xml:space="preserve">Amanda Bynes</t>
  </si>
  <si>
    <t xml:space="preserve">Bruno Mars</t>
  </si>
  <si>
    <t xml:space="preserve">Carla Bruni</t>
  </si>
  <si>
    <t xml:space="preserve">Diego Maradona</t>
  </si>
  <si>
    <t xml:space="preserve">Estela Marques</t>
  </si>
  <si>
    <t xml:space="preserve">Fábio Nobre</t>
  </si>
  <si>
    <t xml:space="preserve">Gabriel Oliveira</t>
  </si>
  <si>
    <t xml:space="preserve">Helena Santos</t>
  </si>
  <si>
    <t xml:space="preserve">Ivan Carvalho</t>
  </si>
  <si>
    <t xml:space="preserve">Júlia Ferreira</t>
  </si>
  <si>
    <t xml:space="preserve">Karla Alves</t>
  </si>
  <si>
    <t xml:space="preserve">Lucas Mendes</t>
  </si>
  <si>
    <t xml:space="preserve">Mônica Gomes</t>
  </si>
  <si>
    <t xml:space="preserve">Norberto Queiroz</t>
  </si>
  <si>
    <t xml:space="preserve">Otávio Barros</t>
  </si>
  <si>
    <t xml:space="preserve">Paula Vieira</t>
  </si>
  <si>
    <t xml:space="preserve">Quentin Ramos</t>
  </si>
  <si>
    <t xml:space="preserve">Raquel Novaes</t>
  </si>
  <si>
    <t xml:space="preserve">Samantha Lopes</t>
  </si>
  <si>
    <t xml:space="preserve">Tiago Martins</t>
  </si>
  <si>
    <t xml:space="preserve">Ulysses Guimarães</t>
  </si>
  <si>
    <t xml:space="preserve">Vanessa Silva</t>
  </si>
  <si>
    <t xml:space="preserve">William Carneiro</t>
  </si>
  <si>
    <t xml:space="preserve">Ximena Rocha</t>
  </si>
  <si>
    <t xml:space="preserve">Yasmin Figueiredo</t>
  </si>
  <si>
    <t xml:space="preserve">Zara Cunha</t>
  </si>
  <si>
    <t xml:space="preserve">Alan Teixeira</t>
  </si>
  <si>
    <t xml:space="preserve">Bárbara Oliveira</t>
  </si>
  <si>
    <t xml:space="preserve">Carlos Junqueira</t>
  </si>
  <si>
    <t xml:space="preserve">Daniela Moura</t>
  </si>
  <si>
    <t xml:space="preserve">Eduardo Lima</t>
  </si>
  <si>
    <t xml:space="preserve">Fabiana Araújo</t>
  </si>
  <si>
    <t xml:space="preserve">Geraldo Ribeiro</t>
  </si>
  <si>
    <t xml:space="preserve">Héctor Vargas</t>
  </si>
  <si>
    <t xml:space="preserve">Isabela Fonseca</t>
  </si>
  <si>
    <t xml:space="preserve">João Pedro Almeida</t>
  </si>
  <si>
    <t xml:space="preserve">Klara Costa</t>
  </si>
  <si>
    <t xml:space="preserve">Luciana Mendes</t>
  </si>
  <si>
    <t xml:space="preserve">Marcelo Gouveia</t>
  </si>
  <si>
    <t xml:space="preserve">Nívea Borges</t>
  </si>
  <si>
    <t xml:space="preserve">Oscar Nogueira</t>
  </si>
  <si>
    <t xml:space="preserve">Patrícia Alves</t>
  </si>
  <si>
    <t xml:space="preserve">Rafaela Silva</t>
  </si>
  <si>
    <t xml:space="preserve">Samantha Moraes</t>
  </si>
  <si>
    <t xml:space="preserve">Tatiana Rocha</t>
  </si>
  <si>
    <t xml:space="preserve">Ulisses Tavares</t>
  </si>
  <si>
    <t xml:space="preserve">Víctor Lemos</t>
  </si>
  <si>
    <t xml:space="preserve">Wilma Barros</t>
  </si>
  <si>
    <t xml:space="preserve">Xavier Nascimento</t>
  </si>
  <si>
    <t xml:space="preserve">Yago Pereira</t>
  </si>
  <si>
    <t xml:space="preserve">Zilda Ferreira</t>
  </si>
  <si>
    <t xml:space="preserve">Amanda Lopes</t>
  </si>
  <si>
    <t xml:space="preserve">Bruno Miranda</t>
  </si>
  <si>
    <t xml:space="preserve">Célia Torres</t>
  </si>
  <si>
    <t xml:space="preserve">Diogo Souza</t>
  </si>
  <si>
    <t xml:space="preserve">Elisa Castro</t>
  </si>
  <si>
    <t xml:space="preserve">Fátima Lima</t>
  </si>
  <si>
    <t xml:space="preserve">Hélio Martins</t>
  </si>
  <si>
    <t xml:space="preserve">Íris Santos</t>
  </si>
  <si>
    <t xml:space="preserve">João Marcelo</t>
  </si>
  <si>
    <t xml:space="preserve">Larissa Gomes</t>
  </si>
  <si>
    <t xml:space="preserve">Márcio Silva</t>
  </si>
  <si>
    <t xml:space="preserve">Nadia Costa</t>
  </si>
  <si>
    <t xml:space="preserve">Oscar Almeida</t>
  </si>
  <si>
    <t xml:space="preserve">Patricia Soares</t>
  </si>
  <si>
    <t xml:space="preserve">Quênia Barros</t>
  </si>
  <si>
    <t xml:space="preserve">Rafael Torres</t>
  </si>
  <si>
    <t xml:space="preserve">Silvia Nascimento</t>
  </si>
  <si>
    <t xml:space="preserve">Tiago Mendes</t>
  </si>
  <si>
    <t xml:space="preserve">Ursula Silva</t>
  </si>
  <si>
    <t xml:space="preserve">Vanessa Moraes</t>
  </si>
  <si>
    <t xml:space="preserve">Waldir Junior</t>
  </si>
  <si>
    <t xml:space="preserve">Xavier Lopes</t>
  </si>
  <si>
    <t xml:space="preserve">Yolanda Freitas</t>
  </si>
  <si>
    <t xml:space="preserve">Zacarias Nunes</t>
  </si>
  <si>
    <t xml:space="preserve">Ana Clara Barreto</t>
  </si>
  <si>
    <t xml:space="preserve">Bruno Henrique</t>
  </si>
  <si>
    <t xml:space="preserve">Carlos Eduardo</t>
  </si>
  <si>
    <t xml:space="preserve">Débora Lima</t>
  </si>
  <si>
    <t xml:space="preserve">Elisa Neves</t>
  </si>
  <si>
    <t xml:space="preserve">Fabiano Gomes</t>
  </si>
  <si>
    <t xml:space="preserve">Gisele Oliveira</t>
  </si>
  <si>
    <t xml:space="preserve">Héctor Silva</t>
  </si>
  <si>
    <t xml:space="preserve">Igor Martins</t>
  </si>
  <si>
    <t xml:space="preserve">Joana Figueiredo</t>
  </si>
  <si>
    <t xml:space="preserve">Kleber Machado</t>
  </si>
  <si>
    <t xml:space="preserve">Luciana Santos</t>
  </si>
  <si>
    <t xml:space="preserve">Marcos Teixeira</t>
  </si>
  <si>
    <t xml:space="preserve">Natalia Costa</t>
  </si>
  <si>
    <t xml:space="preserve">Oscar Ribeiro</t>
  </si>
  <si>
    <t xml:space="preserve">Patricia Almeida</t>
  </si>
  <si>
    <t xml:space="preserve">Quirino Junior</t>
  </si>
  <si>
    <t xml:space="preserve">Renata Machado</t>
  </si>
  <si>
    <t xml:space="preserve">Sônia Alves</t>
  </si>
  <si>
    <t xml:space="preserve">Tiago Nunes</t>
  </si>
  <si>
    <t xml:space="preserve">Ulysses Pereira</t>
  </si>
  <si>
    <t xml:space="preserve">Vanessa Lima</t>
  </si>
  <si>
    <t xml:space="preserve">Wagner Santos</t>
  </si>
  <si>
    <t xml:space="preserve">Yasmin Silva</t>
  </si>
  <si>
    <t xml:space="preserve">Zacarias de Souza</t>
  </si>
  <si>
    <t xml:space="preserve">André Lima</t>
  </si>
  <si>
    <t xml:space="preserve">Bianca Freitas</t>
  </si>
  <si>
    <t xml:space="preserve">Caio Mendes</t>
  </si>
  <si>
    <t xml:space="preserve">Eduardo Costa</t>
  </si>
  <si>
    <t xml:space="preserve">Fernanda Gomes</t>
  </si>
  <si>
    <t xml:space="preserve">Guilherme Souza</t>
  </si>
  <si>
    <t xml:space="preserve">Helena Ribeiro</t>
  </si>
  <si>
    <t xml:space="preserve">Igor Santos</t>
  </si>
  <si>
    <t xml:space="preserve">João Carvalho</t>
  </si>
  <si>
    <t xml:space="preserve">Klara Fagundes</t>
  </si>
  <si>
    <t xml:space="preserve">Lúcia Mendonça</t>
  </si>
  <si>
    <t xml:space="preserve">Marcelo Novaes</t>
  </si>
  <si>
    <t xml:space="preserve">Nina Pacheco</t>
  </si>
  <si>
    <t xml:space="preserve">Olívia Rios</t>
  </si>
  <si>
    <t xml:space="preserve">Paulo Quintana</t>
  </si>
  <si>
    <t xml:space="preserve">Raquel Domingos</t>
  </si>
  <si>
    <t xml:space="preserve">Samuel Viana</t>
  </si>
  <si>
    <t xml:space="preserve">Tatiane Rocha</t>
  </si>
  <si>
    <t xml:space="preserve">Ulysses Farias</t>
  </si>
  <si>
    <t xml:space="preserve">Vanessa Moreira</t>
  </si>
  <si>
    <t xml:space="preserve">William Carvalho</t>
  </si>
  <si>
    <t xml:space="preserve">Ximena Barros</t>
  </si>
  <si>
    <t xml:space="preserve">Yara Machado</t>
  </si>
  <si>
    <t xml:space="preserve">Zacarias Costa</t>
  </si>
  <si>
    <t xml:space="preserve">André Lopes</t>
  </si>
  <si>
    <t xml:space="preserve">Beatriz Souza</t>
  </si>
  <si>
    <t xml:space="preserve">Daniela Araújo</t>
  </si>
  <si>
    <t xml:space="preserve">Eduardo Santos</t>
  </si>
  <si>
    <t xml:space="preserve">Gabriel Teixeira</t>
  </si>
  <si>
    <t xml:space="preserve">Igor Mendes</t>
  </si>
  <si>
    <t xml:space="preserve">Joana Silveira</t>
  </si>
  <si>
    <t xml:space="preserve">Lucas Martins</t>
  </si>
  <si>
    <t xml:space="preserve">Marcela Gouveia</t>
  </si>
  <si>
    <t xml:space="preserve">Nicolas Borges</t>
  </si>
  <si>
    <t xml:space="preserve">Olivia Freitas</t>
  </si>
  <si>
    <t xml:space="preserve">Paulo Nogueira</t>
  </si>
  <si>
    <t xml:space="preserve">Raquel Andrade</t>
  </si>
  <si>
    <t xml:space="preserve">Sônia Carvalho</t>
  </si>
  <si>
    <t xml:space="preserve">Tiago Rodrigues</t>
  </si>
  <si>
    <t xml:space="preserve">Ursula Monteiro</t>
  </si>
  <si>
    <t xml:space="preserve">Vanessa Pereira</t>
  </si>
  <si>
    <t xml:space="preserve">Walter Silva</t>
  </si>
  <si>
    <t xml:space="preserve">Xavier Almeida</t>
  </si>
  <si>
    <t xml:space="preserve">Yasmine Correia</t>
  </si>
  <si>
    <t xml:space="preserve">Zacarias Almeida</t>
  </si>
  <si>
    <t xml:space="preserve">Amanda Costa</t>
  </si>
  <si>
    <t xml:space="preserve">Bruno Ferreira</t>
  </si>
  <si>
    <t xml:space="preserve">Diogo Martins</t>
  </si>
  <si>
    <t xml:space="preserve">Elisa Campos</t>
  </si>
  <si>
    <t xml:space="preserve">Fabiana Lima</t>
  </si>
  <si>
    <t xml:space="preserve">Gabriel Santos</t>
  </si>
  <si>
    <t xml:space="preserve">Helena Ferreira</t>
  </si>
  <si>
    <t xml:space="preserve">Ígor Nunes</t>
  </si>
  <si>
    <t xml:space="preserve">Luciana Morais</t>
  </si>
  <si>
    <t xml:space="preserve">Marcos Vinícius</t>
  </si>
  <si>
    <t xml:space="preserve">Natália Barros</t>
  </si>
  <si>
    <t xml:space="preserve">Oscar Sampaio</t>
  </si>
  <si>
    <t xml:space="preserve">Patrícia Leite</t>
  </si>
  <si>
    <t xml:space="preserve">Quênia Rocha</t>
  </si>
  <si>
    <t xml:space="preserve">Sandra Gouveia</t>
  </si>
  <si>
    <t xml:space="preserve">Tiago Lacerda</t>
  </si>
  <si>
    <t xml:space="preserve">Ursula Fonseca</t>
  </si>
  <si>
    <t xml:space="preserve">Vanessa Andrade</t>
  </si>
  <si>
    <t xml:space="preserve">William Castro</t>
  </si>
  <si>
    <t xml:space="preserve">Xavier Monteiro</t>
  </si>
  <si>
    <t xml:space="preserve">Yasmin Figueira</t>
  </si>
  <si>
    <t xml:space="preserve">Zacarias Mendonça</t>
  </si>
  <si>
    <t xml:space="preserve">Amanda Menezes</t>
  </si>
  <si>
    <t xml:space="preserve">Bruno Santos</t>
  </si>
  <si>
    <t xml:space="preserve">Carla Ferreira</t>
  </si>
  <si>
    <t xml:space="preserve">Diogo Alves</t>
  </si>
  <si>
    <t xml:space="preserve">Fabiano Pires</t>
  </si>
  <si>
    <t xml:space="preserve">Giovana Ribeiro</t>
  </si>
  <si>
    <t xml:space="preserve">Hélio Costa</t>
  </si>
  <si>
    <t xml:space="preserve">Íris Loureiro</t>
  </si>
  <si>
    <t xml:space="preserve">João Pereira</t>
  </si>
  <si>
    <t xml:space="preserve">Klara Silva</t>
  </si>
  <si>
    <t xml:space="preserve">Luciana Barros</t>
  </si>
  <si>
    <t xml:space="preserve">Marcos Gomes</t>
  </si>
  <si>
    <t xml:space="preserve">Natália Soares</t>
  </si>
  <si>
    <t xml:space="preserve">Oscar Machado</t>
  </si>
  <si>
    <t xml:space="preserve">Patrícia Lima</t>
  </si>
  <si>
    <t xml:space="preserve">Quirino Neto</t>
  </si>
  <si>
    <t xml:space="preserve">Rafaela Souza</t>
  </si>
  <si>
    <t xml:space="preserve">Sandro Almeida</t>
  </si>
  <si>
    <t xml:space="preserve">Tânia Ribeiro</t>
  </si>
  <si>
    <t xml:space="preserve">Ugo Dias</t>
  </si>
  <si>
    <t xml:space="preserve">Valéria Lima</t>
  </si>
  <si>
    <t xml:space="preserve">William Fernandes</t>
  </si>
  <si>
    <t xml:space="preserve">Xuxa Mendes</t>
  </si>
  <si>
    <t xml:space="preserve">Ygor Farias</t>
  </si>
  <si>
    <t xml:space="preserve">Zilda Barros</t>
  </si>
  <si>
    <t xml:space="preserve">Amanda Santos</t>
  </si>
  <si>
    <t xml:space="preserve">Bruno Costa</t>
  </si>
  <si>
    <t xml:space="preserve">Carla Rodrigues</t>
  </si>
  <si>
    <t xml:space="preserve">Diogo Pereira</t>
  </si>
  <si>
    <t xml:space="preserve">Elisa Correia</t>
  </si>
  <si>
    <t xml:space="preserve">Fábio Lourenço</t>
  </si>
  <si>
    <t xml:space="preserve">Gabriela Neves</t>
  </si>
  <si>
    <t xml:space="preserve">Henrique Gonçalves</t>
  </si>
  <si>
    <t xml:space="preserve">João Marcelo Alves</t>
  </si>
  <si>
    <t xml:space="preserve">Klara Fonseca</t>
  </si>
  <si>
    <t xml:space="preserve">Lucas Mendonça</t>
  </si>
  <si>
    <t xml:space="preserve">Marcela Torres</t>
  </si>
  <si>
    <t xml:space="preserve">Natália Castro</t>
  </si>
  <si>
    <t xml:space="preserve">Oscar Martins</t>
  </si>
  <si>
    <t xml:space="preserve">Patrícia Oliveira</t>
  </si>
  <si>
    <t xml:space="preserve">Quentin Nogueira</t>
  </si>
  <si>
    <t xml:space="preserve">Raquel Silva</t>
  </si>
  <si>
    <t xml:space="preserve">Sandro Gomes</t>
  </si>
  <si>
    <t xml:space="preserve">Tânia Machado</t>
  </si>
  <si>
    <t xml:space="preserve">Xavier Reis</t>
  </si>
  <si>
    <t xml:space="preserve">Yasmin Rocha</t>
  </si>
  <si>
    <t xml:space="preserve">Zacarias Duarte</t>
  </si>
  <si>
    <t xml:space="preserve">Amanda Freitas</t>
  </si>
  <si>
    <t xml:space="preserve">Bruno Almeida</t>
  </si>
  <si>
    <t xml:space="preserve">Carla Siqueira</t>
  </si>
  <si>
    <t xml:space="preserve">Diogo Ramos</t>
  </si>
  <si>
    <t xml:space="preserve">Elisa Magalhães</t>
  </si>
  <si>
    <t xml:space="preserve">XBOX GAME PASS SALES</t>
  </si>
  <si>
    <t xml:space="preserve"> </t>
  </si>
  <si>
    <t xml:space="preserve">Soma de Total Value</t>
  </si>
  <si>
    <t xml:space="preserve">Total geral</t>
  </si>
  <si>
    <t xml:space="preserve">Soma de EA Play Season Pass Price</t>
  </si>
  <si>
    <t xml:space="preserve">Soma de Minecraft Season Pass Price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</si>
</sst>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_-&quot;R$&quot;\ * #,##0.00_-;\-&quot;R$&quot;\ * #,##0.00_-;_-&quot;R$&quot;\ * &quot;-&quot;??_-;_-@_-"/>
    <numFmt numFmtId="165" formatCode="_-[$R$-416]\ * #,##0.00_-;\-[$R$-416]\ * #,##0.00_-;_-[$R$-416]\ * &quot;-&quot;??_-;_-@_-"/>
  </numFmts>
  <fonts count="7">
    <font>
      <sz val="11.000000"/>
      <color theme="1"/>
      <name val="Aptos Narrow"/>
      <scheme val="minor"/>
    </font>
    <font>
      <b/>
      <sz val="15.000000"/>
      <color theme="3"/>
      <name val="Aptos Narrow"/>
      <scheme val="minor"/>
    </font>
    <font>
      <b/>
      <sz val="11.000000"/>
      <color theme="1"/>
      <name val="Aptos Narrow"/>
      <scheme val="minor"/>
    </font>
    <font>
      <sz val="11.000000"/>
      <name val="Aptos Narrow"/>
      <scheme val="minor"/>
    </font>
    <font>
      <b/>
      <sz val="22.000000"/>
      <color rgb="FF22C55E"/>
      <name val="Aptos Narrow"/>
      <scheme val="minor"/>
    </font>
    <font>
      <b/>
      <sz val="28.000000"/>
      <color theme="9"/>
      <name val="Aptos Narrow"/>
      <scheme val="minor"/>
    </font>
    <font>
      <b/>
      <sz val="28.000000"/>
      <color rgb="FF4EA72E"/>
      <name val="Aptos Narrow"/>
      <scheme val="minor"/>
    </font>
  </fonts>
  <fills count="13">
    <fill>
      <patternFill patternType="none"/>
    </fill>
    <fill>
      <patternFill patternType="gray125"/>
    </fill>
    <fill>
      <patternFill patternType="solid">
        <fgColor rgb="FF9BC848"/>
      </patternFill>
    </fill>
    <fill>
      <patternFill patternType="solid">
        <fgColor rgb="FFE8E6E9"/>
      </patternFill>
    </fill>
    <fill>
      <patternFill patternType="solid">
        <fgColor rgb="FF22C55E"/>
      </patternFill>
    </fill>
    <fill>
      <patternFill patternType="solid">
        <fgColor rgb="FF2AE6B1"/>
      </patternFill>
    </fill>
    <fill>
      <patternFill patternType="solid">
        <fgColor rgb="FF5BF6A8"/>
      </patternFill>
    </fill>
    <fill>
      <patternFill patternType="solid">
        <fgColor theme="2" tint="-0.249977111117893"/>
        <bgColor indexed="65"/>
      </patternFill>
    </fill>
    <fill>
      <patternFill patternType="solid">
        <fgColor rgb="FF22C55E"/>
        <bgColor rgb="FF22C55E"/>
      </patternFill>
    </fill>
    <fill>
      <patternFill patternType="solid">
        <fgColor theme="0" tint="-0.14999847407452621"/>
      </patternFill>
    </fill>
    <fill>
      <patternFill patternType="solid">
        <fgColor theme="0"/>
      </patternFill>
    </fill>
    <fill>
      <patternFill patternType="solid">
        <fgColor theme="0" tint="-0.14999847407452621"/>
        <bgColor theme="0" tint="-0.14999847407452621"/>
      </patternFill>
    </fill>
    <fill>
      <patternFill patternType="solid">
        <fgColor theme="0" tint="0"/>
        <bgColor theme="0" tint="0"/>
      </patternFill>
    </fill>
  </fills>
  <borders count="3">
    <border>
      <left style="none"/>
      <right style="none"/>
      <top style="none"/>
      <bottom style="none"/>
      <diagonal style="none"/>
    </border>
    <border>
      <left style="none"/>
      <right style="none"/>
      <top style="none"/>
      <bottom style="thick">
        <color theme="4"/>
      </bottom>
      <diagonal style="none"/>
    </border>
    <border>
      <left style="none"/>
      <right style="none"/>
      <top style="none"/>
      <bottom style="thick">
        <color rgb="FF22C55E"/>
      </bottom>
      <diagonal style="none"/>
    </border>
  </borders>
  <cellStyleXfs count="3">
    <xf fontId="0" fillId="0" borderId="0" numFmtId="0" applyNumberFormat="1" applyFont="1" applyFill="1" applyBorder="1"/>
    <xf fontId="0" fillId="0" borderId="0" numFmtId="164" applyNumberFormat="1" applyFont="0" applyFill="0" applyBorder="0" applyProtection="0"/>
    <xf fontId="1" fillId="0" borderId="1" numFmtId="0" applyNumberFormat="0" applyFont="1" applyFill="0" applyBorder="1" applyProtection="0"/>
  </cellStyleXfs>
  <cellXfs count="25">
    <xf fontId="0" fillId="0" borderId="0" numFmtId="0" xfId="0"/>
    <xf fontId="1" fillId="0" borderId="1" numFmtId="0" xfId="2" applyFont="1" applyBorder="1"/>
    <xf fontId="0" fillId="2" borderId="0" numFmtId="0" xfId="0" applyFill="1"/>
    <xf fontId="0" fillId="3" borderId="0" numFmtId="0" xfId="0" applyFill="1"/>
    <xf fontId="0" fillId="4" borderId="0" numFmtId="0" xfId="0" applyFill="1"/>
    <xf fontId="0" fillId="5" borderId="0" numFmtId="0" xfId="0" applyFill="1"/>
    <xf fontId="0" fillId="6" borderId="0" numFmtId="0" xfId="0" applyFill="1"/>
    <xf fontId="0" fillId="7" borderId="0" numFmtId="0" xfId="0" applyFill="1"/>
    <xf fontId="2" fillId="0" borderId="0" numFmtId="0" xfId="0" applyFont="1" applyAlignment="1">
      <alignment horizontal="center" vertical="center" wrapText="1"/>
    </xf>
    <xf fontId="0" fillId="0" borderId="0" numFmtId="0" xfId="0" applyAlignment="1">
      <alignment horizontal="center" vertical="center" wrapText="1"/>
    </xf>
    <xf fontId="0" fillId="0" borderId="0" numFmtId="14" xfId="0" applyNumberFormat="1" applyAlignment="1">
      <alignment horizontal="center" vertical="center" wrapText="1"/>
    </xf>
    <xf fontId="0" fillId="0" borderId="0" numFmtId="164" xfId="1" applyNumberFormat="1" applyAlignment="1">
      <alignment horizontal="center" vertical="center" wrapText="1"/>
    </xf>
    <xf fontId="0" fillId="8" borderId="0" numFmtId="0" xfId="0" applyFill="1"/>
    <xf fontId="3" fillId="9" borderId="0" numFmtId="0" xfId="0" applyFont="1" applyFill="1"/>
    <xf fontId="3" fillId="10" borderId="0" numFmtId="0" xfId="0" applyFont="1" applyFill="1"/>
    <xf fontId="4" fillId="0" borderId="2" numFmtId="0" xfId="0" applyFont="1" applyBorder="1"/>
    <xf fontId="0" fillId="0" borderId="2" numFmtId="0" xfId="0" applyBorder="1"/>
    <xf fontId="0" fillId="11" borderId="0" numFmtId="0" xfId="0" applyFill="1"/>
    <xf fontId="5" fillId="10" borderId="0" numFmtId="165" xfId="0" applyNumberFormat="1" applyFont="1" applyFill="1" applyAlignment="1">
      <alignment horizontal="left" indent="12" wrapText="1"/>
    </xf>
    <xf fontId="0" fillId="9" borderId="0" numFmtId="0" xfId="0" applyFill="1"/>
    <xf fontId="0" fillId="11" borderId="0" numFmtId="0" xfId="0" applyFill="1" applyAlignment="1">
      <alignment horizontal="left"/>
    </xf>
    <xf fontId="6" fillId="12" borderId="0" numFmtId="165" xfId="0" applyNumberFormat="1" applyFont="1" applyFill="1" applyAlignment="1">
      <alignment horizontal="left" indent="12" wrapText="1"/>
    </xf>
    <xf fontId="0" fillId="0" borderId="0" numFmtId="164" xfId="0" applyNumberFormat="1"/>
    <xf fontId="0" fillId="0" borderId="0" numFmtId="165" xfId="0" applyNumberFormat="1"/>
    <xf fontId="0" fillId="0" borderId="0" numFmtId="0" xfId="0" applyAlignment="1">
      <alignment horizontal="left"/>
    </xf>
  </cellXfs>
  <cellStyles count="3">
    <cellStyle name="Moeda" xfId="1" builtinId="4"/>
    <cellStyle name="Normal" xfId="0" builtinId="0"/>
    <cellStyle name="Título 1" xfId="2" builtinId="16"/>
  </cellStyles>
  <dxfs count="13">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
      <alignment horizontal="center" indent="0" readingOrder="0" relativeIndent="0" shrinkToFit="0" textRotation="0"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pivotCacheDefinition" Target="pivotCache/pivotCacheDefinition1.xml"/><Relationship  Id="rId10" Type="http://schemas.openxmlformats.org/officeDocument/2006/relationships/theme" Target="theme/theme1.xml"/><Relationship  Id="rId11" Type="http://schemas.openxmlformats.org/officeDocument/2006/relationships/sharedStrings" Target="sharedStrings.xml"/><Relationship  Id="rId12" Type="http://schemas.openxmlformats.org/officeDocument/2006/relationships/styles" Target="styles.xml"/><Relationship  Id="rId2" Type="http://schemas.microsoft.com/office/2007/relationships/slicerCache" Target="slicerCaches/slicerCache1.xml"/><Relationship  Id="rId3" Type="http://schemas.microsoft.com/office/2007/relationships/slicerCache" Target="slicerCaches/slicerCache2.xml"/><Relationship  Id="rId4" Type="http://schemas.openxmlformats.org/officeDocument/2006/relationships/customXml" Target="../customXml/item1.xml"/><Relationship  Id="rId5" Type="http://schemas.openxmlformats.org/officeDocument/2006/relationships/customXml" Target="../customXml/item2.xml"/><Relationship  Id="rId6" Type="http://schemas.openxmlformats.org/officeDocument/2006/relationships/customXml" Target="../customXml/item3.xml"/><Relationship  Id="rId7" Type="http://schemas.openxmlformats.org/officeDocument/2006/relationships/worksheet" Target="worksheets/sheet1.xml"/><Relationship  Id="rId8" Type="http://schemas.openxmlformats.org/officeDocument/2006/relationships/worksheet" Target="worksheets/sheet2.xml"/><Relationship  Id="rId9" Type="http://schemas.openxmlformats.org/officeDocument/2006/relationships/worksheet" Target="worksheets/sheet3.xml"/></Relationships>
</file>

<file path=xl/charts/_rels/chart1.xml.rels><?xml version="1.0" encoding="UTF-8" standalone="yes"?><Relationships xmlns="http://schemas.openxmlformats.org/package/2006/relationships"><Relationship Id="rId1" Type="http://schemas.microsoft.com/office/2011/relationships/chartStyle" Target="style1.xml" /><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xmlns:mc="http://schemas.openxmlformats.org/markup-compatibility/2006" xmlns:c15="http://schemas.microsoft.com/office/drawing/2012/chart" xmlns:c14="http://schemas.microsoft.com/office/drawing/2007/8/2/chart" xmlns:c16r2="http://schemas.microsoft.com/office/drawing/2015/06/chart">
  <c:date1904 val="0"/>
  <c:lang val="pt-BR"/>
  <c:roundedCorners val="0"/>
  <mc:AlternateContent>
    <mc:Choice Requires="c14">
      <c14:style val="102"/>
    </mc:Choice>
    <mc:Fallback>
      <c:style val="2"/>
    </mc:Fallback>
  </mc:AlternateContent>
  <c:chart>
    <c:autoTitleDeleted val="1"/>
    <c:pivotFmts>
      <c:pivotFmt>
        <c:idx val="0"/>
        <c:spPr bwMode="auto">
          <a:prstGeom prst="rect">
            <a:avLst/>
          </a:prstGeom>
          <a:solidFill>
            <a:srgbClr val="8ED973"/>
          </a:solidFill>
          <a:ln>
            <a:noFill/>
          </a:ln>
          <a:effectLst/>
        </c:spPr>
        <c:marker>
          <c:symbol val="circle"/>
          <c:size val="5"/>
          <c:spPr bwMode="auto">
            <a:prstGeom prst="rect">
              <a:avLst/>
            </a:prstGeom>
            <a:solidFill>
              <a:srgbClr val="637CEF"/>
            </a:solidFill>
            <a:ln w="9525">
              <a:solidFill>
                <a:srgbClr val="637CEF"/>
              </a:solidFill>
            </a:ln>
            <a:effectLst/>
          </c:spPr>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1"/>
        <c:spPr bwMode="auto">
          <a:prstGeom prst="rect">
            <a:avLst/>
          </a:prstGeom>
          <a:solidFill>
            <a:srgbClr val="8ED973"/>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2"/>
        <c:spPr bwMode="auto">
          <a:prstGeom prst="rect">
            <a:avLst/>
          </a:prstGeom>
          <a:solidFill>
            <a:srgbClr val="8ED973"/>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3"/>
        <c:spPr bwMode="auto">
          <a:prstGeom prst="rect">
            <a:avLst/>
          </a:prstGeom>
          <a:solidFill>
            <a:srgbClr val="8ED973"/>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
        <c:idx val="4"/>
        <c:spPr bwMode="auto">
          <a:prstGeom prst="rect">
            <a:avLst/>
          </a:prstGeom>
          <a:solidFill>
            <a:srgbClr val="8ED973"/>
          </a:solidFill>
          <a:ln>
            <a:noFill/>
          </a:ln>
          <a:effectLst/>
        </c:spPr>
        <c:marker>
          <c:symbol val="none"/>
        </c:marker>
        <c:dLbl>
          <c:idx val="0"/>
          <c:layout/>
          <c:showBubbleSize val="0"/>
          <c:showCatName val="0"/>
          <c:showLegendKey val="0"/>
          <c:showPercent val="0"/>
          <c:showSerName val="0"/>
          <c:showVal val="0"/>
          <c:spPr bwMode="auto">
            <a:prstGeom prst="rect">
              <a:avLst/>
            </a:prstGeom>
            <a:noFill/>
            <a:ln>
              <a:noFill/>
            </a:ln>
            <a:effectLst/>
          </c:spPr>
          <c:txPr>
            <a:bodyPr rot="0" spcFirstLastPara="1" vertOverflow="ellipsis" vert="horz" wrap="square" lIns="38100" tIns="19050" rIns="38100" bIns="19050" anchor="ctr" anchorCtr="1">
              <a:spAutoFit/>
            </a:bodyPr>
            <a:lstStyle/>
            <a:p>
              <a:pPr>
                <a:defRPr sz="900" b="0" i="0" u="none" strike="noStrike">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0.098630"/>
          <c:y val="0.036090"/>
          <c:w val="1.104340"/>
          <c:h val="0.919420"/>
        </c:manualLayout>
      </c:layout>
      <c:barChart>
        <c:barDir val="bar"/>
        <c:grouping val="stacked"/>
        <c:varyColors val="0"/>
        <c:ser>
          <c:idx val="0"/>
          <c:order val="0"/>
          <c:tx>
            <c:strRef>
              <c:f>dashboard!$AM$397</c:f>
            </c:strRef>
          </c:tx>
          <c:spPr bwMode="auto">
            <a:prstGeom prst="rect">
              <a:avLst/>
            </a:prstGeom>
            <a:solidFill>
              <a:srgbClr val="8ED973"/>
            </a:solidFill>
            <a:ln>
              <a:noFill/>
            </a:ln>
            <a:effectLst/>
          </c:spPr>
          <c:invertIfNegative val="0"/>
          <c:cat>
            <c:strRef>
              <c:f>dashboard!$AL$398:$AL$399</c:f>
            </c:strRef>
          </c:cat>
          <c:val>
            <c:numRef>
              <c:f>dashboard!$AM$398:$AM$399</c:f>
            </c:numRef>
          </c:val>
        </c:ser>
        <c:dLbls>
          <c:showBubbleSize val="0"/>
          <c:showCatName val="0"/>
          <c:showLeaderLines val="0"/>
          <c:showLegendKey val="0"/>
          <c:showPercent val="0"/>
          <c:showSerName val="0"/>
          <c:showVal val="0"/>
        </c:dLbls>
        <c:gapWidth val="150"/>
        <c:overlap val="100"/>
        <c:axId val="561738247"/>
        <c:axId val="561740295"/>
      </c:barChart>
      <c:catAx>
        <c:axId val="561738247"/>
        <c:scaling>
          <c:orientation val="minMax"/>
        </c:scaling>
        <c:delete val="0"/>
        <c:axPos val="l"/>
        <c:numFmt formatCode="General" sourceLinked="1"/>
        <c:majorTickMark val="none"/>
        <c:minorTickMark val="none"/>
        <c:tickLblPos val="nextTo"/>
        <c:spPr bwMode="auto">
          <a:prstGeom prst="rect">
            <a:avLst/>
          </a:prstGeom>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a:solidFill>
                  <a:schemeClr val="tx1">
                    <a:lumMod val="65000"/>
                    <a:lumOff val="35000"/>
                  </a:schemeClr>
                </a:solidFill>
                <a:latin typeface="+mn-lt"/>
                <a:ea typeface="+mn-ea"/>
                <a:cs typeface="+mn-cs"/>
              </a:defRPr>
            </a:pPr>
            <a:endParaRPr lang="en-US"/>
          </a:p>
        </c:txPr>
        <c:crossAx val="561740295"/>
        <c:crosses val="autoZero"/>
        <c:auto val="1"/>
        <c:lblAlgn val="ctr"/>
        <c:lblOffset val="100"/>
        <c:noMultiLvlLbl val="0"/>
      </c:catAx>
      <c:valAx>
        <c:axId val="561740295"/>
        <c:scaling>
          <c:orientation val="minMax"/>
        </c:scaling>
        <c:delete val="1"/>
        <c:axPos val="b"/>
        <c:majorGridlines>
          <c:spPr bwMode="auto">
            <a:prstGeom prst="rect">
              <a:avLst/>
            </a:prstGeom>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crossAx val="561738247"/>
        <c:crosses val="autoZero"/>
        <c:crossBetween val="between"/>
      </c:valAx>
      <c:spPr bwMode="auto">
        <a:prstGeom prst="rect">
          <a:avLst/>
        </a:prstGeom>
        <a:noFill/>
        <a:ln>
          <a:noFill/>
        </a:ln>
        <a:effectLst/>
      </c:spPr>
    </c:plotArea>
    <c:plotVisOnly val="1"/>
    <c:dispBlanksAs val="gap"/>
    <c:showDLblsOverMax val="0"/>
  </c:chart>
  <c:spPr bwMode="auto">
    <a:xfrm rot="0">
      <a:off x="2484119" y="5027294"/>
      <a:ext cx="6593203" cy="2305049"/>
    </a:xfrm>
    <a:prstGeom prst="rect">
      <a:avLst/>
    </a:prstGeom>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l="0.69999999999999996" r="0.69999999999999996" t="0.75" b="0.75" header="0.29999999999999999" footer="0.29999999999999999"/>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cs:axisTitle>
  <cs:categoryAxis>
    <cs:lnRef idx="0"/>
    <cs:fillRef idx="0"/>
    <cs:effectRef idx="0"/>
    <cs:fontRef idx="minor">
      <a:schemeClr val="tx1">
        <a:lumMod val="65000"/>
        <a:lumOff val="35000"/>
      </a:schemeClr>
    </cs:fontRef>
    <cs:spPr bwMode="auto">
      <a:prstGeom prst="rect">
        <a:avLst/>
      </a:prstGeom>
      <a:ln w="9525" cap="flat" cmpd="sng" algn="ctr">
        <a:solidFill>
          <a:schemeClr val="tx1">
            <a:lumMod val="15000"/>
            <a:lumOff val="85000"/>
          </a:schemeClr>
        </a:solidFill>
        <a:round/>
      </a:ln>
    </cs:spPr>
    <cs:defRPr sz="900"/>
  </cs:categoryAxis>
  <cs:chartArea>
    <cs:lnRef idx="0"/>
    <cs:fillRef idx="0"/>
    <cs:effectRef idx="0"/>
    <cs:fontRef idx="minor">
      <a:schemeClr val="tx1"/>
    </cs:fontRef>
    <cs:spPr bwMode="auto">
      <a:prstGeom prst="rect">
        <a:avLst/>
      </a:prstGeom>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bwMode="auto">
      <a:prstGeom prst="rect">
        <a:avLst/>
      </a:prstGeom>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bwMode="auto">
      <a:prstGeom prst="rect">
        <a:avLst/>
      </a:prstGeom>
      <a:ln w="28575" cap="rnd">
        <a:solidFill>
          <a:schemeClr val="phClr"/>
        </a:solidFill>
        <a:round/>
      </a:ln>
    </cs:spPr>
  </cs:dataPointLine>
  <cs:dataPointMarker>
    <cs:lnRef idx="0">
      <cs:styleClr val="auto"/>
    </cs:lnRef>
    <cs:fillRef idx="1">
      <cs:styleClr val="auto"/>
    </cs:fillRef>
    <cs:effectRef idx="0"/>
    <cs:fontRef idx="minor">
      <a:schemeClr val="tx1"/>
    </cs:fontRef>
    <cs:spPr bwMode="auto">
      <a:prstGeom prst="rect">
        <a:avLst/>
      </a:prstGeom>
      <a:ln w="9525">
        <a:solidFill>
          <a:schemeClr val="phClr"/>
        </a:solidFill>
      </a:ln>
    </cs:spPr>
  </cs:dataPointMarker>
  <cs:dataPointWireframe>
    <cs:lnRef idx="0">
      <cs:styleClr val="auto"/>
    </cs:lnRef>
    <cs:fillRef idx="1"/>
    <cs:effectRef idx="0"/>
    <cs:fontRef idx="minor">
      <a:schemeClr val="tx1"/>
    </cs:fontRef>
    <cs:spPr bwMode="auto">
      <a:prstGeom prst="rect">
        <a:avLst/>
      </a:prstGeom>
      <a:ln w="9525" cap="rnd">
        <a:solidFill>
          <a:schemeClr val="phClr"/>
        </a:solidFill>
        <a:round/>
      </a:ln>
    </cs:spPr>
  </cs:dataPointWireframe>
  <cs:dataTable>
    <cs:lnRef idx="0"/>
    <cs:fillRef idx="0"/>
    <cs:effectRef idx="0"/>
    <cs:fontRef idx="minor">
      <a:schemeClr val="tx1">
        <a:lumMod val="65000"/>
        <a:lumOff val="35000"/>
      </a:schemeClr>
    </cs:fontRef>
    <cs:spPr bwMode="auto">
      <a:prstGeom prst="rect">
        <a:avLst/>
      </a:prstGeom>
      <a:noFill/>
      <a:ln w="9525" cap="flat" cmpd="sng" algn="ctr">
        <a:solidFill>
          <a:schemeClr val="tx1">
            <a:lumMod val="15000"/>
            <a:lumOff val="85000"/>
          </a:schemeClr>
        </a:solidFill>
        <a:round/>
      </a:ln>
    </cs:spPr>
    <cs:defRPr sz="900"/>
  </cs:dataTable>
  <cs:downBar>
    <cs:lnRef idx="0"/>
    <cs:fillRef idx="0"/>
    <cs:effectRef idx="0"/>
    <cs:fontRef idx="minor">
      <a:schemeClr val="tx1"/>
    </cs:fontRef>
    <cs:spPr bwMode="auto">
      <a:prstGeom prst="rect">
        <a:avLst/>
      </a:prstGeom>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dropLine>
  <cs:errorBar>
    <cs:lnRef idx="0"/>
    <cs:fillRef idx="0"/>
    <cs:effectRef idx="0"/>
    <cs:fontRef idx="minor">
      <a:schemeClr val="tx1"/>
    </cs:fontRef>
    <cs:spPr bwMode="auto">
      <a:prstGeom prst="rect">
        <a:avLst/>
      </a:prstGeom>
      <a:ln w="9525" cap="flat" cmpd="sng" algn="ctr">
        <a:solidFill>
          <a:schemeClr val="tx1">
            <a:lumMod val="65000"/>
            <a:lumOff val="35000"/>
          </a:schemeClr>
        </a:solidFill>
        <a:round/>
      </a:ln>
    </cs:spPr>
  </cs:errorBar>
  <cs:floor>
    <cs:lnRef idx="0"/>
    <cs:fillRef idx="0"/>
    <cs:effectRef idx="0"/>
    <cs:fontRef idx="minor">
      <a:schemeClr val="tx1"/>
    </cs:fontRef>
    <cs:spPr bwMode="auto">
      <a:prstGeom prst="rect">
        <a:avLst/>
      </a:prstGeom>
      <a:noFill/>
      <a:ln>
        <a:noFill/>
      </a:ln>
    </cs:spPr>
  </cs:floor>
  <cs:gridlineMajor>
    <cs:lnRef idx="0"/>
    <cs:fillRef idx="0"/>
    <cs:effectRef idx="0"/>
    <cs:fontRef idx="minor">
      <a:schemeClr val="tx1"/>
    </cs:fontRef>
    <cs:spPr bwMode="auto">
      <a:prstGeom prst="rect">
        <a:avLst/>
      </a:prstGeom>
      <a:ln w="9525" cap="flat" cmpd="sng" algn="ctr">
        <a:solidFill>
          <a:schemeClr val="tx1">
            <a:lumMod val="15000"/>
            <a:lumOff val="85000"/>
          </a:schemeClr>
        </a:solidFill>
        <a:round/>
      </a:ln>
    </cs:spPr>
  </cs:gridlineMajor>
  <cs:gridlineMinor>
    <cs:lnRef idx="0"/>
    <cs:fillRef idx="0"/>
    <cs:effectRef idx="0"/>
    <cs:fontRef idx="minor">
      <a:schemeClr val="tx1"/>
    </cs:fontRef>
    <cs:spPr bwMode="auto">
      <a:prstGeom prst="rect">
        <a:avLst/>
      </a:prstGeom>
      <a:ln w="9525" cap="flat" cmpd="sng" algn="ctr">
        <a:solidFill>
          <a:schemeClr val="tx1">
            <a:lumMod val="5000"/>
            <a:lumOff val="95000"/>
          </a:schemeClr>
        </a:solidFill>
        <a:round/>
      </a:ln>
    </cs:spPr>
  </cs:gridlineMinor>
  <cs:hiLoLine>
    <cs:lnRef idx="0"/>
    <cs:fillRef idx="0"/>
    <cs:effectRef idx="0"/>
    <cs:fontRef idx="minor">
      <a:schemeClr val="tx1"/>
    </cs:fontRef>
    <cs:spPr bwMode="auto">
      <a:prstGeom prst="rect">
        <a:avLst/>
      </a:prstGeom>
      <a:ln w="9525" cap="flat" cmpd="sng" algn="ctr">
        <a:solidFill>
          <a:schemeClr val="tx1">
            <a:lumMod val="50000"/>
            <a:lumOff val="50000"/>
          </a:schemeClr>
        </a:solidFill>
        <a:round/>
      </a:ln>
    </cs:spPr>
  </cs:hiLoLine>
  <cs:leader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bwMode="auto">
      <a:prstGeom prst="rect">
        <a:avLst/>
      </a:prstGeom>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spc="0"/>
  </cs:title>
  <cs:trendline>
    <cs:lnRef idx="0">
      <cs:styleClr val="auto"/>
    </cs:lnRef>
    <cs:fillRef idx="0"/>
    <cs:effectRef idx="0"/>
    <cs:fontRef idx="minor">
      <a:schemeClr val="tx1"/>
    </cs:fontRef>
    <cs:spPr bwMode="auto">
      <a:prstGeom prst="rect">
        <a:avLst/>
      </a:prstGeom>
      <a:ln w="19050" cap="rnd">
        <a:solidFill>
          <a:schemeClr val="phClr"/>
        </a:solidFill>
        <a:prstDash val="sysDot"/>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bwMode="auto">
      <a:prstGeom prst="rect">
        <a:avLst/>
      </a:prstGeom>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spPr bwMode="auto">
      <a:prstGeom prst="rect">
        <a:avLst/>
      </a:prstGeom>
      <a:noFill/>
      <a:ln>
        <a:noFill/>
      </a:ln>
    </cs:spPr>
  </cs:wall>
  <cs:dataPointMarkerLayout symbol="circle" size="5"/>
</cs:chartStyle>
</file>

<file path=xl/drawings/_rels/drawing1.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media1.sv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media2.svg"/></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 Id="rId1" Type="http://schemas.openxmlformats.org/officeDocument/2006/relationships/image" Target="../media/image8.png"/><Relationship Id="rId2" Type="http://schemas.openxmlformats.org/officeDocument/2006/relationships/chart" Target="../charts/chart1.xml" /><Relationship Id="rId3" Type="http://schemas.openxmlformats.org/officeDocument/2006/relationships/image" Target="../media/image5.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media3.sv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0</xdr:colOff>
      <xdr:row>5</xdr:row>
      <xdr:rowOff>0</xdr:rowOff>
    </xdr:from>
    <xdr:to>
      <xdr:col>11</xdr:col>
      <xdr:colOff>304800</xdr:colOff>
      <xdr:row>6</xdr:row>
      <xdr:rowOff>114300</xdr:rowOff>
    </xdr:to>
    <xdr:sp>
      <xdr:nvSpPr>
        <xdr:cNvPr id="1025" name="AutoShape 1" descr="Nintendo Switch Online bate marca de 36 milhões de assinantes - Nintendo  Blast"/>
        <xdr:cNvSpPr>
          <a:spLocks noChangeArrowheads="1" noChangeAspect="1"/>
        </xdr:cNvSpPr>
      </xdr:nvSpPr>
      <xdr:spPr bwMode="auto">
        <a:xfrm>
          <a:off x="6705600" y="1028700"/>
          <a:ext cx="304800" cy="304800"/>
        </a:xfrm>
        <a:prstGeom prst="rect">
          <a:avLst/>
        </a:prstGeom>
        <a:noFill/>
      </xdr:spPr>
    </xdr:sp>
    <xdr:clientData/>
  </xdr:twoCellAnchor>
  <xdr:twoCellAnchor editAs="oneCell">
    <xdr:from>
      <xdr:col>13</xdr:col>
      <xdr:colOff>0</xdr:colOff>
      <xdr:row>5</xdr:row>
      <xdr:rowOff>0</xdr:rowOff>
    </xdr:from>
    <xdr:to>
      <xdr:col>13</xdr:col>
      <xdr:colOff>304800</xdr:colOff>
      <xdr:row>6</xdr:row>
      <xdr:rowOff>114300</xdr:rowOff>
    </xdr:to>
    <xdr:sp>
      <xdr:nvSpPr>
        <xdr:cNvPr id="1026" name="AutoShape 2" descr="Nintendo Switch Online bate marca de 36 milhões de assinantes - Nintendo  Blast"/>
        <xdr:cNvSpPr>
          <a:spLocks noChangeArrowheads="1" noChangeAspect="1"/>
        </xdr:cNvSpPr>
      </xdr:nvSpPr>
      <xdr:spPr bwMode="auto">
        <a:xfrm>
          <a:off x="7924800" y="1028700"/>
          <a:ext cx="304800" cy="304800"/>
        </a:xfrm>
        <a:prstGeom prst="rect">
          <a:avLst/>
        </a:prstGeom>
        <a:noFill/>
      </xdr:spPr>
    </xdr:sp>
    <xdr:clientData/>
  </xdr:twoCellAnchor>
  <xdr:twoCellAnchor editAs="oneCell">
    <xdr:from>
      <xdr:col>1</xdr:col>
      <xdr:colOff>219074</xdr:colOff>
      <xdr:row>12</xdr:row>
      <xdr:rowOff>138302</xdr:rowOff>
    </xdr:from>
    <xdr:to>
      <xdr:col>3</xdr:col>
      <xdr:colOff>500471</xdr:colOff>
      <xdr:row>15</xdr:row>
      <xdr:rowOff>19050</xdr:rowOff>
    </xdr:to>
    <xdr:pic>
      <xdr:nvPicPr>
        <xdr:cNvPr id="3" name="Imagem 2"/>
        <xdr:cNvPicPr>
          <a:picLocks noChangeAspect="1"/>
        </xdr:cNvPicPr>
      </xdr:nvPicPr>
      <xdr:blipFill rotWithShape="1">
        <a:blip r:embed="rId1"/>
        <a:stretch/>
      </xdr:blipFill>
      <xdr:spPr bwMode="auto">
        <a:xfrm>
          <a:off x="828674" y="2567177"/>
          <a:ext cx="1500597" cy="461773"/>
        </a:xfrm>
        <a:prstGeom prst="rect">
          <a:avLst/>
        </a:prstGeom>
      </xdr:spPr>
    </xdr:pic>
    <xdr:clientData/>
  </xdr:twoCellAnchor>
  <xdr:twoCellAnchor editAs="oneCell">
    <xdr:from>
      <xdr:col>11</xdr:col>
      <xdr:colOff>581025</xdr:colOff>
      <xdr:row>13</xdr:row>
      <xdr:rowOff>19050</xdr:rowOff>
    </xdr:from>
    <xdr:to>
      <xdr:col>12</xdr:col>
      <xdr:colOff>209550</xdr:colOff>
      <xdr:row>14</xdr:row>
      <xdr:rowOff>66675</xdr:rowOff>
    </xdr:to>
    <xdr:pic>
      <xdr:nvPicPr>
        <xdr:cNvPr id="7" name="Gráfico 6" descr="Lupa com preenchimento sólido"/>
        <xdr:cNvPicPr>
          <a:picLocks noChangeAspect="1"/>
        </xdr:cNvPicPr>
      </xdr:nvPicPr>
      <xdr:blipFill rotWithShape="1">
        <a:blip r:embed="rId2">
          <a:extLst>
            <a:ext uri="{96DAC541-7B7A-43D3-8B79-37D633B846F1}">
              <asvg:svgBlip xmlns:asvg="http://schemas.microsoft.com/office/drawing/2016/SVG/main" r:embed="rId3"/>
            </a:ext>
          </a:extLst>
        </a:blip>
        <a:stretch/>
      </xdr:blipFill>
      <xdr:spPr bwMode="auto">
        <a:xfrm>
          <a:off x="6915150" y="2647949"/>
          <a:ext cx="238125" cy="238125"/>
        </a:xfrm>
        <a:prstGeom prst="rect">
          <a:avLst/>
        </a:prstGeom>
      </xdr:spPr>
    </xdr:pic>
    <xdr:clientData/>
  </xdr:twoCellAnchor>
  <xdr:twoCellAnchor editAs="twoCell">
    <xdr:from>
      <xdr:col>9</xdr:col>
      <xdr:colOff>76200</xdr:colOff>
      <xdr:row>12</xdr:row>
      <xdr:rowOff>133350</xdr:rowOff>
    </xdr:from>
    <xdr:to>
      <xdr:col>10</xdr:col>
      <xdr:colOff>161924</xdr:colOff>
      <xdr:row>16</xdr:row>
      <xdr:rowOff>57150</xdr:rowOff>
    </xdr:to>
    <xdr:sp>
      <xdr:nvSpPr>
        <xdr:cNvPr id="9" name="Elipse 8"/>
        <xdr:cNvSpPr/>
      </xdr:nvSpPr>
      <xdr:spPr bwMode="auto">
        <a:xfrm>
          <a:off x="5191125" y="2562225"/>
          <a:ext cx="695325" cy="695325"/>
        </a:xfrm>
        <a:prstGeom prst="ellipse">
          <a:avLst/>
        </a:prstGeom>
        <a:blipFill>
          <a:blip r:embed="rId4"/>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pt-BR" sz="1100"/>
        </a:p>
      </xdr:txBody>
    </xdr:sp>
    <xdr:clientData/>
  </xdr:twoCellAnchor>
  <xdr:twoCellAnchor editAs="twoCell">
    <xdr:from>
      <xdr:col>10</xdr:col>
      <xdr:colOff>285750</xdr:colOff>
      <xdr:row>12</xdr:row>
      <xdr:rowOff>142875</xdr:rowOff>
    </xdr:from>
    <xdr:to>
      <xdr:col>11</xdr:col>
      <xdr:colOff>371475</xdr:colOff>
      <xdr:row>16</xdr:row>
      <xdr:rowOff>66675</xdr:rowOff>
    </xdr:to>
    <xdr:sp>
      <xdr:nvSpPr>
        <xdr:cNvPr id="10" name="Elipse 9"/>
        <xdr:cNvSpPr/>
      </xdr:nvSpPr>
      <xdr:spPr bwMode="auto">
        <a:xfrm>
          <a:off x="6010274" y="2571750"/>
          <a:ext cx="695325" cy="695325"/>
        </a:xfrm>
        <a:prstGeom prst="ellipse">
          <a:avLst/>
        </a:prstGeom>
        <a:blipFill>
          <a:blip r:embed="rId5"/>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defRPr/>
          </a:pPr>
          <a:endParaRPr lang="pt-BR" sz="1100"/>
        </a:p>
      </xdr:txBody>
    </xdr:sp>
    <xdr:clientData/>
  </xdr:twoCellAnchor>
  <xdr:twoCellAnchor editAs="oneCell">
    <xdr:from>
      <xdr:col>1</xdr:col>
      <xdr:colOff>57150</xdr:colOff>
      <xdr:row>21</xdr:row>
      <xdr:rowOff>180975</xdr:rowOff>
    </xdr:from>
    <xdr:to>
      <xdr:col>3</xdr:col>
      <xdr:colOff>57150</xdr:colOff>
      <xdr:row>28</xdr:row>
      <xdr:rowOff>66675</xdr:rowOff>
    </xdr:to>
    <xdr:pic>
      <xdr:nvPicPr>
        <xdr:cNvPr id="12" name="Imagem 11"/>
        <xdr:cNvPicPr>
          <a:picLocks noChangeAspect="1"/>
        </xdr:cNvPicPr>
      </xdr:nvPicPr>
      <xdr:blipFill rotWithShape="1">
        <a:blip r:embed="rId6"/>
        <a:stretch/>
      </xdr:blipFill>
      <xdr:spPr bwMode="auto">
        <a:xfrm>
          <a:off x="666750" y="4333875"/>
          <a:ext cx="1219200" cy="1219200"/>
        </a:xfrm>
        <a:prstGeom prst="rect">
          <a:avLst/>
        </a:prstGeom>
      </xdr:spPr>
    </xdr:pic>
    <xdr:clientData/>
  </xdr:twoCellAnchor>
  <xdr:twoCellAnchor editAs="absolute">
    <xdr:from>
      <xdr:col>1</xdr:col>
      <xdr:colOff>447675</xdr:colOff>
      <xdr:row>27</xdr:row>
      <xdr:rowOff>114299</xdr:rowOff>
    </xdr:from>
    <xdr:to>
      <xdr:col>4</xdr:col>
      <xdr:colOff>168351</xdr:colOff>
      <xdr:row>31</xdr:row>
      <xdr:rowOff>104775</xdr:rowOff>
    </xdr:to>
    <xdr:grpSp>
      <xdr:nvGrpSpPr>
        <xdr:cNvPr id="0" name=""/>
        <xdr:cNvGrpSpPr/>
      </xdr:nvGrpSpPr>
      <xdr:grpSpPr bwMode="auto">
        <a:xfrm>
          <a:off x="1057275" y="5372099"/>
          <a:ext cx="1549476" cy="752476"/>
          <a:chOff x="3495675" y="5400673"/>
          <a:chExt cx="1549476" cy="752476"/>
        </a:xfrm>
      </xdr:grpSpPr>
      <xdr:pic>
        <xdr:nvPicPr>
          <xdr:cNvPr id="16" name="Imagem 15"/>
          <xdr:cNvPicPr>
            <a:picLocks noChangeAspect="1"/>
          </xdr:cNvPicPr>
        </xdr:nvPicPr>
        <xdr:blipFill rotWithShape="1">
          <a:blip r:embed="rId7"/>
          <a:stretch/>
        </xdr:blipFill>
        <xdr:spPr bwMode="auto">
          <a:xfrm>
            <a:off x="3998608" y="5400673"/>
            <a:ext cx="555497" cy="609599"/>
          </a:xfrm>
          <a:prstGeom prst="rect">
            <a:avLst/>
          </a:prstGeom>
        </xdr:spPr>
      </xdr:pic>
      <xdr:pic>
        <xdr:nvPicPr>
          <xdr:cNvPr id="14" name="Gráfico 13"/>
          <xdr:cNvPicPr>
            <a:picLocks noChangeAspect="1"/>
          </xdr:cNvPicPr>
        </xdr:nvPicPr>
        <xdr:blipFill rotWithShape="1">
          <a:blip r:embed="rId8">
            <a:extLst>
              <a:ext uri="{96DAC541-7B7A-43D3-8B79-37D633B846F1}">
                <asvg:svgBlip xmlns:asvg="http://schemas.microsoft.com/office/drawing/2016/SVG/main" r:embed="rId9"/>
              </a:ext>
            </a:extLst>
          </a:blip>
          <a:stretch/>
        </xdr:blipFill>
        <xdr:spPr bwMode="auto">
          <a:xfrm>
            <a:off x="3495675" y="5895937"/>
            <a:ext cx="1549476" cy="257213"/>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11</xdr:col>
      <xdr:colOff>975358</xdr:colOff>
      <xdr:row>8</xdr:row>
      <xdr:rowOff>205739</xdr:rowOff>
    </xdr:from>
    <xdr:to>
      <xdr:col>12</xdr:col>
      <xdr:colOff>304798</xdr:colOff>
      <xdr:row>10</xdr:row>
      <xdr:rowOff>95247</xdr:rowOff>
    </xdr:to>
    <xdr:sp>
      <xdr:nvSpPr>
        <xdr:cNvPr id="3073" name="AutoShape 1" descr="Nintendo Switch Online bate marca de 36 milhões de assinantes - Nintendo  Blast"/>
        <xdr:cNvSpPr>
          <a:spLocks noChangeArrowheads="1" noChangeAspect="1"/>
        </xdr:cNvSpPr>
      </xdr:nvSpPr>
      <xdr:spPr bwMode="auto">
        <a:xfrm>
          <a:off x="6705600" y="1028700"/>
          <a:ext cx="304800" cy="304800"/>
        </a:xfrm>
        <a:prstGeom prst="rect">
          <a:avLst/>
        </a:prstGeom>
        <a:noFill/>
      </xdr:spPr>
    </xdr:sp>
    <xdr:clientData/>
  </xdr:twoCellAnchor>
  <xdr:twoCellAnchor editAs="oneCell">
    <xdr:from>
      <xdr:col>13</xdr:col>
      <xdr:colOff>685798</xdr:colOff>
      <xdr:row>8</xdr:row>
      <xdr:rowOff>205739</xdr:rowOff>
    </xdr:from>
    <xdr:to>
      <xdr:col>14</xdr:col>
      <xdr:colOff>304798</xdr:colOff>
      <xdr:row>10</xdr:row>
      <xdr:rowOff>95247</xdr:rowOff>
    </xdr:to>
    <xdr:sp>
      <xdr:nvSpPr>
        <xdr:cNvPr id="3074" name="AutoShape 2" descr="Nintendo Switch Online bate marca de 36 milhões de assinantes - Nintendo  Blast"/>
        <xdr:cNvSpPr>
          <a:spLocks noChangeArrowheads="1" noChangeAspect="1"/>
        </xdr:cNvSpPr>
      </xdr:nvSpPr>
      <xdr:spPr bwMode="auto">
        <a:xfrm>
          <a:off x="7924800" y="1028700"/>
          <a:ext cx="304800" cy="304800"/>
        </a:xfrm>
        <a:prstGeom prst="rect">
          <a:avLst/>
        </a:prstGeom>
        <a:noFill/>
      </xdr:spPr>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10</xdr:col>
      <xdr:colOff>617219</xdr:colOff>
      <xdr:row>4</xdr:row>
      <xdr:rowOff>160018</xdr:rowOff>
    </xdr:from>
    <xdr:to>
      <xdr:col>10</xdr:col>
      <xdr:colOff>922018</xdr:colOff>
      <xdr:row>6</xdr:row>
      <xdr:rowOff>106678</xdr:rowOff>
    </xdr:to>
    <xdr:sp>
      <xdr:nvSpPr>
        <xdr:cNvPr id="2049" name="AutoShape 1" descr="Nintendo Switch Online bate marca de 36 milhões de assinantes - Nintendo  Blast"/>
        <xdr:cNvSpPr>
          <a:spLocks noChangeArrowheads="1" noChangeAspect="1"/>
        </xdr:cNvSpPr>
      </xdr:nvSpPr>
      <xdr:spPr bwMode="auto">
        <a:xfrm>
          <a:off x="6705600" y="1028700"/>
          <a:ext cx="304800" cy="304800"/>
        </a:xfrm>
        <a:prstGeom prst="rect">
          <a:avLst/>
        </a:prstGeom>
        <a:noFill/>
      </xdr:spPr>
    </xdr:sp>
    <xdr:clientData/>
  </xdr:twoCellAnchor>
  <xdr:twoCellAnchor editAs="oneCell">
    <xdr:from>
      <xdr:col>12</xdr:col>
      <xdr:colOff>350519</xdr:colOff>
      <xdr:row>4</xdr:row>
      <xdr:rowOff>160018</xdr:rowOff>
    </xdr:from>
    <xdr:to>
      <xdr:col>13</xdr:col>
      <xdr:colOff>304798</xdr:colOff>
      <xdr:row>6</xdr:row>
      <xdr:rowOff>106678</xdr:rowOff>
    </xdr:to>
    <xdr:sp>
      <xdr:nvSpPr>
        <xdr:cNvPr id="2050" name="AutoShape 2" descr="Nintendo Switch Online bate marca de 36 milhões de assinantes - Nintendo  Blast"/>
        <xdr:cNvSpPr>
          <a:spLocks noChangeArrowheads="1" noChangeAspect="1"/>
        </xdr:cNvSpPr>
      </xdr:nvSpPr>
      <xdr:spPr bwMode="auto">
        <a:xfrm>
          <a:off x="7924800" y="1028700"/>
          <a:ext cx="304800" cy="304800"/>
        </a:xfrm>
        <a:prstGeom prst="rect">
          <a:avLst/>
        </a:prstGeom>
        <a:noFill/>
      </xdr:spPr>
    </xdr:sp>
    <xdr:clientData/>
  </xdr:twoCellAnchor>
  <xdr:absoluteAnchor>
    <xdr:pos x="795337" y="275271"/>
    <xdr:ext cx="619123" cy="558163"/>
    <xdr:pic>
      <xdr:nvPicPr>
        <xdr:cNvPr id="1864654972" name="Imagem 4"/>
        <xdr:cNvPicPr>
          <a:picLocks noChangeAspect="1"/>
        </xdr:cNvPicPr>
      </xdr:nvPicPr>
      <xdr:blipFill rotWithShape="1">
        <a:blip r:embed="rId1"/>
        <a:srcRect l="8804" t="20499" r="72244" b="15329"/>
        <a:stretch/>
      </xdr:blipFill>
      <xdr:spPr bwMode="auto">
        <a:xfrm>
          <a:off x="795337" y="275271"/>
          <a:ext cx="619124" cy="558164"/>
        </a:xfrm>
        <a:prstGeom prst="rect">
          <a:avLst/>
        </a:prstGeom>
      </xdr:spPr>
    </xdr:pic>
    <xdr:clientData/>
  </xdr:absoluteAnchor>
  <xdr:twoCellAnchor editAs="twoCell">
    <xdr:from>
      <xdr:col>1</xdr:col>
      <xdr:colOff>121919</xdr:colOff>
      <xdr:row>24</xdr:row>
      <xdr:rowOff>36194</xdr:rowOff>
    </xdr:from>
    <xdr:to>
      <xdr:col>4</xdr:col>
      <xdr:colOff>657224</xdr:colOff>
      <xdr:row>38</xdr:row>
      <xdr:rowOff>100964</xdr:rowOff>
    </xdr:to>
    <xdr:graphicFrame>
      <xdr:nvGraphicFramePr>
        <xdr:cNvPr id="4" name="Gráfico 3"/>
        <xdr:cNvGraphicFramePr>
          <a:graphicFrameLocks xmlns:a="http://schemas.openxmlformats.org/drawingml/2006/main"/>
        </xdr:cNvGraphicFramePr>
      </xdr:nvGraphicFramePr>
      <xdr:xfrm rot="0">
        <a:off x="2484119" y="5027294"/>
        <a:ext cx="6593203" cy="2305049"/>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240027</xdr:colOff>
      <xdr:row>6</xdr:row>
      <xdr:rowOff>92676</xdr:rowOff>
    </xdr:from>
    <xdr:to>
      <xdr:col>2</xdr:col>
      <xdr:colOff>1476374</xdr:colOff>
      <xdr:row>9</xdr:row>
      <xdr:rowOff>138396</xdr:rowOff>
    </xdr:to>
    <xdr:pic>
      <xdr:nvPicPr>
        <xdr:cNvPr id="6" name="Imagem 5"/>
        <xdr:cNvPicPr>
          <a:picLocks noChangeAspect="1"/>
        </xdr:cNvPicPr>
      </xdr:nvPicPr>
      <xdr:blipFill rotWithShape="1">
        <a:blip r:embed="rId3"/>
        <a:stretch/>
      </xdr:blipFill>
      <xdr:spPr bwMode="auto">
        <a:xfrm>
          <a:off x="2724149" y="1609056"/>
          <a:ext cx="1236344" cy="1129664"/>
        </a:xfrm>
        <a:prstGeom prst="rect">
          <a:avLst/>
        </a:prstGeom>
      </xdr:spPr>
    </xdr:pic>
    <xdr:clientData/>
  </xdr:twoCellAnchor>
  <xdr:twoCellAnchor editAs="twoCell">
    <xdr:from>
      <xdr:col>1</xdr:col>
      <xdr:colOff>95249</xdr:colOff>
      <xdr:row>4</xdr:row>
      <xdr:rowOff>92868</xdr:rowOff>
    </xdr:from>
    <xdr:to>
      <xdr:col>2</xdr:col>
      <xdr:colOff>4541519</xdr:colOff>
      <xdr:row>7</xdr:row>
      <xdr:rowOff>183163</xdr:rowOff>
    </xdr:to>
    <xdr:sp>
      <xdr:nvSpPr>
        <xdr:cNvPr id="7" name="Retângulo com Canto Redondo do Mesmo Lado 6"/>
        <xdr:cNvSpPr/>
      </xdr:nvSpPr>
      <xdr:spPr bwMode="auto">
        <a:xfrm flipH="0" flipV="0">
          <a:off x="2457449" y="1293018"/>
          <a:ext cx="4570094" cy="585594"/>
        </a:xfrm>
        <a:prstGeom prst="round2SameRect">
          <a:avLst>
            <a:gd name="adj1" fmla="val 16667"/>
            <a:gd name="adj2" fmla="val 0"/>
          </a:avLst>
        </a:prstGeom>
        <a:solidFill>
          <a:srgbClr val="22C55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defRPr/>
          </a:pPr>
          <a:r>
            <a:rPr lang="en-US" sz="1400" b="1" i="0" u="none" strike="noStrike">
              <a:solidFill>
                <a:schemeClr val="tx1"/>
              </a:solidFill>
              <a:latin typeface="Aptos Narrow"/>
            </a:rPr>
            <a:t>TOTAL SUBSCRIPTIONS EA PLAY SEASON PASS</a:t>
          </a:r>
          <a:endParaRPr/>
        </a:p>
      </xdr:txBody>
    </xdr:sp>
    <xdr:clientData/>
  </xdr:twoCellAnchor>
  <xdr:absoluteAnchor>
    <xdr:pos x="402430" y="5084444"/>
    <xdr:ext cx="1828800" cy="1371600"/>
    <mc:AlternateContent xmlns:mc="http://schemas.openxmlformats.org/markup-compatibility/2006">
      <mc:Choice xmlns:a14="http://schemas.microsoft.com/office/drawing/2010/main" Requires="a14">
        <xdr:graphicFrame>
          <xdr:nvGraphicFramePr>
            <xdr:cNvPr id="1806331419" name=""/>
            <xdr:cNvGraphicFramePr>
              <a:graphicFrameLocks xmlns:a="http://schemas.openxmlformats.org/drawingml/2006/main" noMove="1" noResize="1"/>
            </xdr:cNvGraphicFramePr>
          </xdr:nvGraphicFramePr>
          <xdr:xfrm rot="0" flipH="0" flipV="0">
            <a:off x="402431" y="5084444"/>
            <a:ext cx="1828800" cy="1371600"/>
          </xdr:xfrm>
          <a:graphic>
            <a:graphicData uri="http://schemas.microsoft.com/office/drawing/2010/slicer">
              <sle:slicer xmlns:sle="http://schemas.microsoft.com/office/drawing/2010/slicer" name="Subscription Type"/>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402430" y="1182050"/>
    <xdr:ext cx="1828800" cy="1370266"/>
    <mc:AlternateContent xmlns:mc="http://schemas.openxmlformats.org/markup-compatibility/2006">
      <mc:Choice xmlns:a14="http://schemas.microsoft.com/office/drawing/2010/main" Requires="a14">
        <xdr:graphicFrame>
          <xdr:nvGraphicFramePr>
            <xdr:cNvPr id="1931488793" name=""/>
            <xdr:cNvGraphicFramePr>
              <a:graphicFrameLocks xmlns:a="http://schemas.openxmlformats.org/drawingml/2006/main" noMove="1" noResize="1"/>
            </xdr:cNvGraphicFramePr>
          </xdr:nvGraphicFramePr>
          <xdr:xfrm rot="0" flipH="0" flipV="0">
            <a:off x="402431" y="1182050"/>
            <a:ext cx="1828800" cy="1370266"/>
          </xdr:xfrm>
          <a:graphic>
            <a:graphicData uri="http://schemas.microsoft.com/office/drawing/2010/slicer">
              <sle:slicer xmlns:sle="http://schemas.microsoft.com/office/drawing/2010/slicer" name="Subscription Type 1"/>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absoluteAnchor>
    <xdr:pos x="402430" y="3026812"/>
    <xdr:ext cx="1828800" cy="1371600"/>
    <mc:AlternateContent xmlns:mc="http://schemas.openxmlformats.org/markup-compatibility/2006">
      <mc:Choice xmlns:a14="http://schemas.microsoft.com/office/drawing/2010/main" Requires="a14">
        <xdr:graphicFrame>
          <xdr:nvGraphicFramePr>
            <xdr:cNvPr id="1695090938" name=""/>
            <xdr:cNvGraphicFramePr>
              <a:graphicFrameLocks xmlns:a="http://schemas.openxmlformats.org/drawingml/2006/main" noMove="1" noResize="1"/>
            </xdr:cNvGraphicFramePr>
          </xdr:nvGraphicFramePr>
          <xdr:xfrm rot="0" flipH="0" flipV="0">
            <a:off x="402431" y="3026812"/>
            <a:ext cx="1828800" cy="1371600"/>
          </xdr:xfrm>
          <a:graphic>
            <a:graphicData uri="http://schemas.microsoft.com/office/drawing/2010/slicer">
              <sle:slicer xmlns:sle="http://schemas.microsoft.com/office/drawing/2010/slicer" name="Subscription Type 2"/>
            </a:graphicData>
          </a:graphic>
        </xdr:graphicFrame>
      </mc:Choice>
      <mc:Fallback xmlns="">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absoluteAnchor>
  <xdr:twoCellAnchor editAs="twoCell">
    <xdr:from>
      <xdr:col>1</xdr:col>
      <xdr:colOff>105251</xdr:colOff>
      <xdr:row>10</xdr:row>
      <xdr:rowOff>161924</xdr:rowOff>
    </xdr:from>
    <xdr:to>
      <xdr:col>2</xdr:col>
      <xdr:colOff>4531518</xdr:colOff>
      <xdr:row>13</xdr:row>
      <xdr:rowOff>152399</xdr:rowOff>
    </xdr:to>
    <xdr:sp>
      <xdr:nvSpPr>
        <xdr:cNvPr id="1330150606" name=""/>
        <xdr:cNvSpPr/>
      </xdr:nvSpPr>
      <xdr:spPr bwMode="auto">
        <a:xfrm rot="0" flipH="0" flipV="0">
          <a:off x="2467451" y="2924174"/>
          <a:ext cx="4550092" cy="476249"/>
        </a:xfrm>
        <a:prstGeom prst="round2SameRect">
          <a:avLst>
            <a:gd name="adj1" fmla="val 16667"/>
            <a:gd name="adj2" fmla="val 0"/>
          </a:avLst>
        </a:prstGeom>
        <a:solidFill>
          <a:srgbClr val="22C55E"/>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wrap="square" lIns="91440" tIns="45720" rIns="91440" bIns="45720" numCol="1" spcCol="0" rtlCol="0" fromWordArt="0" anchor="ctr" anchorCtr="0" forceAA="0" upright="0" compatLnSpc="0"/>
        <a:p>
          <a:pPr algn="ctr">
            <a:defRPr/>
          </a:pPr>
          <a:r>
            <a:rPr sz="1400" b="1">
              <a:solidFill>
                <a:srgbClr val="000000"/>
              </a:solidFill>
            </a:rPr>
            <a:t>TOTAL </a:t>
          </a:r>
          <a:r>
            <a:rPr sz="1400" b="1">
              <a:solidFill>
                <a:srgbClr val="000000"/>
              </a:solidFill>
            </a:rPr>
            <a:t>TFARCENIM SNOITPIRCSBUS</a:t>
          </a:r>
          <a:endParaRPr sz="1400" b="1">
            <a:solidFill>
              <a:srgbClr val="000000"/>
            </a:solidFill>
          </a:endParaRPr>
        </a:p>
      </xdr:txBody>
    </xdr:sp>
    <xdr:clientData/>
  </xdr:twoCellAnchor>
  <xdr:twoCellAnchor editAs="absolute">
    <xdr:from>
      <xdr:col>2</xdr:col>
      <xdr:colOff>226218</xdr:colOff>
      <xdr:row>14</xdr:row>
      <xdr:rowOff>85757</xdr:rowOff>
    </xdr:from>
    <xdr:to>
      <xdr:col>2</xdr:col>
      <xdr:colOff>1281046</xdr:colOff>
      <xdr:row>14</xdr:row>
      <xdr:rowOff>597727</xdr:rowOff>
    </xdr:to>
    <xdr:grpSp>
      <xdr:nvGrpSpPr>
        <xdr:cNvPr id="0" name=""/>
        <xdr:cNvGrpSpPr/>
      </xdr:nvGrpSpPr>
      <xdr:grpSpPr bwMode="auto">
        <a:xfrm flipH="0" flipV="0">
          <a:off x="2712243" y="3505232"/>
          <a:ext cx="1054827" cy="511969"/>
          <a:chOff x="0" y="0"/>
          <a:chExt cx="1054827" cy="511969"/>
        </a:xfrm>
      </xdr:grpSpPr>
      <xdr:pic>
        <xdr:nvPicPr>
          <xdr:cNvPr id="89978690" name="Imagem 15"/>
          <xdr:cNvPicPr>
            <a:picLocks noChangeAspect="1"/>
          </xdr:cNvPicPr>
        </xdr:nvPicPr>
        <xdr:blipFill rotWithShape="1">
          <a:blip r:embed="rId4"/>
          <a:stretch/>
        </xdr:blipFill>
        <xdr:spPr bwMode="auto">
          <a:xfrm>
            <a:off x="342378" y="0"/>
            <a:ext cx="378162" cy="414758"/>
          </a:xfrm>
          <a:prstGeom prst="rect">
            <a:avLst/>
          </a:prstGeom>
        </xdr:spPr>
      </xdr:pic>
      <xdr:pic>
        <xdr:nvPicPr>
          <xdr:cNvPr id="175471811" name="Gráfico 13"/>
          <xdr:cNvPicPr>
            <a:picLocks noChangeAspect="1"/>
          </xdr:cNvPicPr>
        </xdr:nvPicPr>
        <xdr:blipFill rotWithShape="1">
          <a:blip r:embed="rId5">
            <a:extLst>
              <a:ext uri="{96DAC541-7B7A-43D3-8B79-37D633B846F1}">
                <asvg:svgBlip xmlns:asvg="http://schemas.microsoft.com/office/drawing/2016/SVG/main" r:embed="rId6"/>
              </a:ext>
            </a:extLst>
          </a:blip>
          <a:stretch/>
        </xdr:blipFill>
        <xdr:spPr bwMode="auto">
          <a:xfrm>
            <a:off x="0" y="336967"/>
            <a:ext cx="1054827" cy="175002"/>
          </a:xfrm>
          <a:prstGeom prst="rect">
            <a:avLst/>
          </a:prstGeom>
        </xdr:spPr>
      </xdr:pic>
    </xdr:grpSp>
    <xdr:clientData/>
  </xdr:twoCellAnchor>
  <xdr:twoCellAnchor editAs="twoCell">
    <xdr:from>
      <xdr:col>1</xdr:col>
      <xdr:colOff>123824</xdr:colOff>
      <xdr:row>21</xdr:row>
      <xdr:rowOff>142874</xdr:rowOff>
    </xdr:from>
    <xdr:to>
      <xdr:col>4</xdr:col>
      <xdr:colOff>661987</xdr:colOff>
      <xdr:row>24</xdr:row>
      <xdr:rowOff>38099</xdr:rowOff>
    </xdr:to>
    <xdr:sp>
      <xdr:nvSpPr>
        <xdr:cNvPr id="1038050288" name=""/>
        <xdr:cNvSpPr/>
      </xdr:nvSpPr>
      <xdr:spPr bwMode="auto">
        <a:xfrm rot="0" flipH="0" flipV="0">
          <a:off x="2486024" y="5286374"/>
          <a:ext cx="6596062" cy="380999"/>
        </a:xfrm>
        <a:prstGeom prst="round2SameRect">
          <a:avLst>
            <a:gd name="adj1" fmla="val 16667"/>
            <a:gd name="adj2" fmla="val 0"/>
          </a:avLst>
        </a:prstGeom>
        <a:solidFill>
          <a:srgbClr val="22C55E"/>
        </a:solidFill>
        <a:ln w="19050" cap="flat" cmpd="sng" algn="ctr">
          <a:noFill/>
          <a:prstDash val="solid"/>
          <a:miter lim="800000"/>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a:p>
          <a:pPr algn="ctr">
            <a:defRPr/>
          </a:pPr>
          <a:r>
            <a:rPr sz="1400" b="1">
              <a:solidFill>
                <a:srgbClr val="000000"/>
              </a:solidFill>
            </a:rPr>
            <a:t>TOTAL SUBSCRIPTIONS XBOX</a:t>
          </a:r>
          <a:endParaRPr sz="1400" b="1">
            <a:solidFill>
              <a:srgbClr val="000000"/>
            </a:solidFill>
          </a:endParaRPr>
        </a:p>
      </xdr:txBody>
    </xdr:sp>
    <xdr:clientData/>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Date="0" createdVersion="4" refreshedVersion="4" minRefreshableVersion="3" recordCount="295">
  <cacheSource type="worksheet">
    <worksheetSource name="Tabela1[]"/>
  </cacheSource>
  <cacheFields count="13">
    <cacheField name="Subscriber ID" numFmtId="0">
      <sharedItems containsSemiMixedTypes="0" containsString="0" containsNumber="1" containsInteger="1" minValue="3231" maxValue="3525"/>
    </cacheField>
    <cacheField name="Name" numFmtId="0">
      <sharedItems/>
    </cacheField>
    <cacheField name="Plan" numFmtId="0">
      <sharedItems count="3">
        <s v="Ultimate"/>
        <s v="Core"/>
        <s v="Standard"/>
      </sharedItems>
    </cacheField>
    <cacheField name="Start Date" numFmtId="14">
      <sharedItems containsSemiMixedTypes="0" containsNonDate="0" containsDate="1" containsString="0" minDate="2024-01-01T00:00:00" maxDate="2024-12-17T00:00:00"/>
    </cacheField>
    <cacheField name="Auto Renewal" numFmtId="0">
      <sharedItems/>
    </cacheField>
    <cacheField name="Subscription Price" numFmtId="164">
      <sharedItems containsSemiMixedTypes="0" containsString="0" containsNumber="1" containsInteger="1" minValue="5" maxValue="15"/>
    </cacheField>
    <cacheField name="Subscription Type" numFmtId="0">
      <sharedItems count="3">
        <s v="Monthly"/>
        <s v="Annual"/>
        <s v="Quarterly"/>
      </sharedItems>
    </cacheField>
    <cacheField name="EA Play Season Pass" numFmtId="0">
      <sharedItems count="2">
        <s v="Yes"/>
        <s v="No"/>
      </sharedItems>
    </cacheField>
    <cacheField name="EA Play Season Pass Price" numFmtId="164">
      <sharedItems containsMixedTypes="1" containsNumber="1" containsInteger="1" minValue="30" maxValue="30" count="2">
        <n v="30"/>
        <s v="-"/>
      </sharedItems>
    </cacheField>
    <cacheField name="Minecraft Season Pass" numFmtId="0">
      <sharedItems/>
    </cacheField>
    <cacheField name="Minecraft Season Pass Price" numFmtId="164">
      <sharedItems containsSemiMixedTypes="0" containsString="0" containsNumber="1" containsInteger="1" minValue="0" maxValue="20"/>
    </cacheField>
    <cacheField name="Coupon Value" numFmtId="164">
      <sharedItems containsSemiMixedTypes="0" containsString="0" containsNumber="1" containsInteger="1" minValue="0" maxValue="20"/>
    </cacheField>
    <cacheField name="Total Value" numFmtId="164">
      <sharedItems containsSemiMixedTypes="0" containsString="0" containsNumber="1" containsInteger="1" minValue="3" maxValue="62"/>
    </cacheField>
  </cacheFields>
  <extLst>
    <ext xmlns:x14="http://schemas.microsoft.com/office/spreadsheetml/2009/9/main" uri="{725AE2AE-9491-48be-B2B4-4EB974FC3084}">
      <x14:pivotCacheDefinition pivotCacheId="1495997943"/>
    </ext>
  </extLst>
</pivotCacheDefinition>
</file>

<file path=xl/pivotCache/pivotCacheRecords1.xml><?xml version="1.0" encoding="utf-8"?>
<pivotCacheRecords xmlns="http://schemas.openxmlformats.org/spreadsheetml/2006/main" xmlns:r="http://schemas.openxmlformats.org/officeDocument/2006/relationships" count="295">
  <r>
    <n v="3231"/>
    <s v="João Silva"/>
    <x v="0"/>
    <d v="2024-01-01T00:00:00"/>
    <s v="Yes"/>
    <n v="15"/>
    <x v="0"/>
    <x v="0"/>
    <x v="0"/>
    <s v="Yes"/>
    <n v="20"/>
    <n v="5"/>
    <n v="60"/>
  </r>
  <r>
    <n v="3232"/>
    <s v="Maria Oliveira"/>
    <x v="1"/>
    <d v="2024-01-15T00:00:00"/>
    <s v="No"/>
    <n v="5"/>
    <x v="1"/>
    <x v="1"/>
    <x v="1"/>
    <s v="No"/>
    <n v="0"/>
    <n v="0"/>
    <n v="5"/>
  </r>
  <r>
    <n v="3233"/>
    <s v="Lucas Fernandes"/>
    <x v="2"/>
    <d v="2024-02-10T00:00:00"/>
    <s v="Yes"/>
    <n v="10"/>
    <x v="2"/>
    <x v="1"/>
    <x v="1"/>
    <s v="Yes"/>
    <n v="20"/>
    <n v="10"/>
    <n v="20"/>
  </r>
  <r>
    <n v="3234"/>
    <s v="Ana Souza"/>
    <x v="0"/>
    <d v="2024-02-20T00:00:00"/>
    <s v="No"/>
    <n v="15"/>
    <x v="0"/>
    <x v="0"/>
    <x v="0"/>
    <s v="Yes"/>
    <n v="20"/>
    <n v="3"/>
    <n v="62"/>
  </r>
  <r>
    <n v="3235"/>
    <s v="Pedro Gonçalves"/>
    <x v="1"/>
    <d v="2024-03-05T00:00:00"/>
    <s v="Yes"/>
    <n v="5"/>
    <x v="0"/>
    <x v="1"/>
    <x v="1"/>
    <s v="No"/>
    <n v="0"/>
    <n v="1"/>
    <n v="4"/>
  </r>
  <r>
    <n v="3236"/>
    <s v="Felipe Costa"/>
    <x v="2"/>
    <d v="2024-03-02T00:00:00"/>
    <s v="No"/>
    <n v="10"/>
    <x v="0"/>
    <x v="1"/>
    <x v="1"/>
    <s v="Yes"/>
    <n v="20"/>
    <n v="2"/>
    <n v="28"/>
  </r>
  <r>
    <n v="3237"/>
    <s v="Camila Ribeiro"/>
    <x v="0"/>
    <d v="2024-03-03T00:00:00"/>
    <s v="Yes"/>
    <n v="15"/>
    <x v="2"/>
    <x v="0"/>
    <x v="0"/>
    <s v="Yes"/>
    <n v="20"/>
    <n v="10"/>
    <n v="55"/>
  </r>
  <r>
    <n v="3238"/>
    <s v="André Mendes"/>
    <x v="1"/>
    <d v="2024-03-04T00:00:00"/>
    <s v="Yes"/>
    <n v="5"/>
    <x v="1"/>
    <x v="1"/>
    <x v="1"/>
    <s v="No"/>
    <n v="0"/>
    <n v="0"/>
    <n v="5"/>
  </r>
  <r>
    <n v="3239"/>
    <s v="Sofia Almeida"/>
    <x v="0"/>
    <d v="2024-03-05T00:00:00"/>
    <s v="No"/>
    <n v="15"/>
    <x v="0"/>
    <x v="0"/>
    <x v="0"/>
    <s v="Yes"/>
    <n v="20"/>
    <n v="5"/>
    <n v="60"/>
  </r>
  <r>
    <n v="3240"/>
    <s v="Bruno Martins"/>
    <x v="2"/>
    <d v="2024-03-06T00:00:00"/>
    <s v="Yes"/>
    <n v="10"/>
    <x v="2"/>
    <x v="1"/>
    <x v="1"/>
    <s v="Yes"/>
    <n v="20"/>
    <n v="15"/>
    <n v="15"/>
  </r>
  <r>
    <n v="3241"/>
    <s v="Rita Castro"/>
    <x v="1"/>
    <d v="2024-03-07T00:00:00"/>
    <s v="No"/>
    <n v="5"/>
    <x v="0"/>
    <x v="1"/>
    <x v="1"/>
    <s v="No"/>
    <n v="0"/>
    <n v="1"/>
    <n v="4"/>
  </r>
  <r>
    <n v="3242"/>
    <s v="Marco Túlio"/>
    <x v="0"/>
    <d v="2024-03-08T00:00:00"/>
    <s v="Yes"/>
    <n v="15"/>
    <x v="1"/>
    <x v="0"/>
    <x v="0"/>
    <s v="Yes"/>
    <n v="20"/>
    <n v="20"/>
    <n v="45"/>
  </r>
  <r>
    <n v="3243"/>
    <s v="Lívia Silveira"/>
    <x v="2"/>
    <d v="2024-03-09T00:00:00"/>
    <s v="No"/>
    <n v="10"/>
    <x v="0"/>
    <x v="1"/>
    <x v="1"/>
    <s v="Yes"/>
    <n v="20"/>
    <n v="10"/>
    <n v="20"/>
  </r>
  <r>
    <n v="3244"/>
    <s v="Diogo Sousa"/>
    <x v="1"/>
    <d v="2024-03-10T00:00:00"/>
    <s v="Yes"/>
    <n v="5"/>
    <x v="2"/>
    <x v="1"/>
    <x v="1"/>
    <s v="No"/>
    <n v="0"/>
    <n v="0"/>
    <n v="5"/>
  </r>
  <r>
    <n v="3245"/>
    <s v="Fernanda Lima"/>
    <x v="0"/>
    <d v="2024-03-11T00:00:00"/>
    <s v="No"/>
    <n v="15"/>
    <x v="0"/>
    <x v="0"/>
    <x v="0"/>
    <s v="Yes"/>
    <n v="20"/>
    <n v="8"/>
    <n v="57"/>
  </r>
  <r>
    <n v="3246"/>
    <s v="Caio Pereira"/>
    <x v="2"/>
    <d v="2024-03-12T00:00:00"/>
    <s v="Yes"/>
    <n v="10"/>
    <x v="1"/>
    <x v="1"/>
    <x v="1"/>
    <s v="Yes"/>
    <n v="20"/>
    <n v="12"/>
    <n v="18"/>
  </r>
  <r>
    <n v="3247"/>
    <s v="Beatriz Gomes"/>
    <x v="1"/>
    <d v="2024-03-13T00:00:00"/>
    <s v="No"/>
    <n v="5"/>
    <x v="0"/>
    <x v="1"/>
    <x v="1"/>
    <s v="No"/>
    <n v="0"/>
    <n v="2"/>
    <n v="3"/>
  </r>
  <r>
    <n v="3248"/>
    <s v="Cesar Oliveira"/>
    <x v="0"/>
    <d v="2024-03-14T00:00:00"/>
    <s v="Yes"/>
    <n v="15"/>
    <x v="2"/>
    <x v="0"/>
    <x v="0"/>
    <s v="Yes"/>
    <n v="20"/>
    <n v="7"/>
    <n v="58"/>
  </r>
  <r>
    <n v="3249"/>
    <s v="Débora Machado"/>
    <x v="2"/>
    <d v="2024-03-15T00:00:00"/>
    <s v="No"/>
    <n v="10"/>
    <x v="0"/>
    <x v="1"/>
    <x v="1"/>
    <s v="Yes"/>
    <n v="20"/>
    <n v="5"/>
    <n v="25"/>
  </r>
  <r>
    <n v="3250"/>
    <s v="Eduardo Vargas"/>
    <x v="1"/>
    <d v="2024-03-16T00:00:00"/>
    <s v="Yes"/>
    <n v="5"/>
    <x v="1"/>
    <x v="1"/>
    <x v="1"/>
    <s v="No"/>
    <n v="0"/>
    <n v="0"/>
    <n v="5"/>
  </r>
  <r>
    <n v="3251"/>
    <s v="Gabriela Santos"/>
    <x v="0"/>
    <d v="2024-03-17T00:00:00"/>
    <s v="No"/>
    <n v="15"/>
    <x v="0"/>
    <x v="0"/>
    <x v="0"/>
    <s v="Yes"/>
    <n v="20"/>
    <n v="3"/>
    <n v="62"/>
  </r>
  <r>
    <n v="3252"/>
    <s v="Henrique Dias"/>
    <x v="2"/>
    <d v="2024-03-18T00:00:00"/>
    <s v="Yes"/>
    <n v="10"/>
    <x v="2"/>
    <x v="1"/>
    <x v="1"/>
    <s v="Yes"/>
    <n v="20"/>
    <n v="15"/>
    <n v="15"/>
  </r>
  <r>
    <n v="3253"/>
    <s v="Isabela Moreira"/>
    <x v="1"/>
    <d v="2024-03-19T00:00:00"/>
    <s v="No"/>
    <n v="5"/>
    <x v="0"/>
    <x v="1"/>
    <x v="1"/>
    <s v="No"/>
    <n v="0"/>
    <n v="1"/>
    <n v="4"/>
  </r>
  <r>
    <n v="3254"/>
    <s v="Joaquim Barbosa"/>
    <x v="0"/>
    <d v="2024-03-20T00:00:00"/>
    <s v="Yes"/>
    <n v="15"/>
    <x v="1"/>
    <x v="0"/>
    <x v="0"/>
    <s v="Yes"/>
    <n v="20"/>
    <n v="20"/>
    <n v="45"/>
  </r>
  <r>
    <n v="3255"/>
    <s v="Lara Rocha"/>
    <x v="2"/>
    <d v="2024-03-21T00:00:00"/>
    <s v="No"/>
    <n v="10"/>
    <x v="0"/>
    <x v="1"/>
    <x v="1"/>
    <s v="Yes"/>
    <n v="20"/>
    <n v="10"/>
    <n v="20"/>
  </r>
  <r>
    <n v="3256"/>
    <s v="Matheus Silva"/>
    <x v="1"/>
    <d v="2024-03-22T00:00:00"/>
    <s v="Yes"/>
    <n v="5"/>
    <x v="2"/>
    <x v="1"/>
    <x v="1"/>
    <s v="No"/>
    <n v="0"/>
    <n v="0"/>
    <n v="5"/>
  </r>
  <r>
    <n v="3257"/>
    <s v="Nicole Costa"/>
    <x v="0"/>
    <d v="2024-03-23T00:00:00"/>
    <s v="No"/>
    <n v="15"/>
    <x v="0"/>
    <x v="0"/>
    <x v="0"/>
    <s v="Yes"/>
    <n v="20"/>
    <n v="5"/>
    <n v="60"/>
  </r>
  <r>
    <n v="3258"/>
    <s v="Otávio Mendonça"/>
    <x v="2"/>
    <d v="2024-03-24T00:00:00"/>
    <s v="Yes"/>
    <n v="10"/>
    <x v="1"/>
    <x v="1"/>
    <x v="1"/>
    <s v="Yes"/>
    <n v="20"/>
    <n v="15"/>
    <n v="15"/>
  </r>
  <r>
    <n v="3259"/>
    <s v="Paula Ferreira"/>
    <x v="1"/>
    <d v="2024-03-25T00:00:00"/>
    <s v="No"/>
    <n v="5"/>
    <x v="0"/>
    <x v="1"/>
    <x v="1"/>
    <s v="No"/>
    <n v="0"/>
    <n v="1"/>
    <n v="4"/>
  </r>
  <r>
    <n v="3260"/>
    <s v="Raquel Alves"/>
    <x v="0"/>
    <d v="2024-03-26T00:00:00"/>
    <s v="Yes"/>
    <n v="15"/>
    <x v="2"/>
    <x v="0"/>
    <x v="0"/>
    <s v="Yes"/>
    <n v="20"/>
    <n v="7"/>
    <n v="58"/>
  </r>
  <r>
    <n v="3261"/>
    <s v="Samuel Pires"/>
    <x v="2"/>
    <d v="2024-03-27T00:00:00"/>
    <s v="No"/>
    <n v="10"/>
    <x v="0"/>
    <x v="1"/>
    <x v="1"/>
    <s v="Yes"/>
    <n v="20"/>
    <n v="10"/>
    <n v="20"/>
  </r>
  <r>
    <n v="3262"/>
    <s v="Tânia Barros"/>
    <x v="1"/>
    <d v="2024-03-28T00:00:00"/>
    <s v="Yes"/>
    <n v="5"/>
    <x v="1"/>
    <x v="1"/>
    <x v="1"/>
    <s v="No"/>
    <n v="0"/>
    <n v="0"/>
    <n v="5"/>
  </r>
  <r>
    <n v="3263"/>
    <s v="Vinicius Lima"/>
    <x v="0"/>
    <d v="2024-03-29T00:00:00"/>
    <s v="No"/>
    <n v="15"/>
    <x v="0"/>
    <x v="0"/>
    <x v="0"/>
    <s v="Yes"/>
    <n v="20"/>
    <n v="3"/>
    <n v="62"/>
  </r>
  <r>
    <n v="3264"/>
    <s v="Yasmin Teixeira"/>
    <x v="2"/>
    <d v="2024-03-30T00:00:00"/>
    <s v="Yes"/>
    <n v="10"/>
    <x v="2"/>
    <x v="1"/>
    <x v="1"/>
    <s v="Yes"/>
    <n v="20"/>
    <n v="15"/>
    <n v="15"/>
  </r>
  <r>
    <n v="3265"/>
    <s v="Zé Carlos"/>
    <x v="1"/>
    <d v="2024-03-31T00:00:00"/>
    <s v="No"/>
    <n v="5"/>
    <x v="0"/>
    <x v="1"/>
    <x v="1"/>
    <s v="No"/>
    <n v="0"/>
    <n v="1"/>
    <n v="4"/>
  </r>
  <r>
    <n v="3266"/>
    <s v="Amanda Nogueira"/>
    <x v="1"/>
    <d v="2024-04-01T00:00:00"/>
    <s v="Yes"/>
    <n v="5"/>
    <x v="0"/>
    <x v="1"/>
    <x v="1"/>
    <s v="No"/>
    <n v="0"/>
    <n v="0"/>
    <n v="5"/>
  </r>
  <r>
    <n v="3267"/>
    <s v="Bruno Cavalheiro"/>
    <x v="0"/>
    <d v="2024-04-02T00:00:00"/>
    <s v="No"/>
    <n v="15"/>
    <x v="2"/>
    <x v="0"/>
    <x v="0"/>
    <s v="Yes"/>
    <n v="20"/>
    <n v="7"/>
    <n v="58"/>
  </r>
  <r>
    <n v="3268"/>
    <s v="Carla Dias"/>
    <x v="2"/>
    <d v="2024-04-03T00:00:00"/>
    <s v="Yes"/>
    <n v="10"/>
    <x v="1"/>
    <x v="1"/>
    <x v="1"/>
    <s v="Yes"/>
    <n v="20"/>
    <n v="10"/>
    <n v="20"/>
  </r>
  <r>
    <n v="3269"/>
    <s v="Diego Fontes"/>
    <x v="1"/>
    <d v="2024-04-04T00:00:00"/>
    <s v="No"/>
    <n v="5"/>
    <x v="2"/>
    <x v="1"/>
    <x v="1"/>
    <s v="No"/>
    <n v="0"/>
    <n v="1"/>
    <n v="4"/>
  </r>
  <r>
    <n v="3270"/>
    <s v="Eunice Lima"/>
    <x v="0"/>
    <d v="2024-04-05T00:00:00"/>
    <s v="Yes"/>
    <n v="15"/>
    <x v="0"/>
    <x v="0"/>
    <x v="0"/>
    <s v="Yes"/>
    <n v="20"/>
    <n v="15"/>
    <n v="50"/>
  </r>
  <r>
    <n v="3271"/>
    <s v="Fábio Martins"/>
    <x v="2"/>
    <d v="2024-04-06T00:00:00"/>
    <s v="No"/>
    <n v="10"/>
    <x v="0"/>
    <x v="1"/>
    <x v="1"/>
    <s v="Yes"/>
    <n v="20"/>
    <n v="5"/>
    <n v="25"/>
  </r>
  <r>
    <n v="3272"/>
    <s v="Gisele Araújo"/>
    <x v="1"/>
    <d v="2024-04-07T00:00:00"/>
    <s v="Yes"/>
    <n v="5"/>
    <x v="1"/>
    <x v="1"/>
    <x v="1"/>
    <s v="No"/>
    <n v="0"/>
    <n v="0"/>
    <n v="5"/>
  </r>
  <r>
    <n v="3273"/>
    <s v="Hélio Castro"/>
    <x v="0"/>
    <d v="2024-04-08T00:00:00"/>
    <s v="No"/>
    <n v="15"/>
    <x v="2"/>
    <x v="0"/>
    <x v="0"/>
    <s v="Yes"/>
    <n v="20"/>
    <n v="20"/>
    <n v="45"/>
  </r>
  <r>
    <n v="3274"/>
    <s v="Ingrid Menezes"/>
    <x v="2"/>
    <d v="2024-04-09T00:00:00"/>
    <s v="Yes"/>
    <n v="10"/>
    <x v="2"/>
    <x v="1"/>
    <x v="1"/>
    <s v="Yes"/>
    <n v="20"/>
    <n v="12"/>
    <n v="18"/>
  </r>
  <r>
    <n v="3275"/>
    <s v="Jorge Baptista"/>
    <x v="1"/>
    <d v="2024-04-10T00:00:00"/>
    <s v="No"/>
    <n v="5"/>
    <x v="0"/>
    <x v="1"/>
    <x v="1"/>
    <s v="No"/>
    <n v="0"/>
    <n v="2"/>
    <n v="3"/>
  </r>
  <r>
    <n v="3276"/>
    <s v="Kléber Oliveira"/>
    <x v="0"/>
    <d v="2024-04-11T00:00:00"/>
    <s v="Yes"/>
    <n v="15"/>
    <x v="1"/>
    <x v="0"/>
    <x v="0"/>
    <s v="Yes"/>
    <n v="20"/>
    <n v="5"/>
    <n v="60"/>
  </r>
  <r>
    <n v="3277"/>
    <s v="Luciana Freitas"/>
    <x v="2"/>
    <d v="2024-04-12T00:00:00"/>
    <s v="No"/>
    <n v="10"/>
    <x v="0"/>
    <x v="1"/>
    <x v="1"/>
    <s v="Yes"/>
    <n v="20"/>
    <n v="10"/>
    <n v="20"/>
  </r>
  <r>
    <n v="3278"/>
    <s v="Márcia Eller"/>
    <x v="1"/>
    <d v="2024-04-13T00:00:00"/>
    <s v="Yes"/>
    <n v="5"/>
    <x v="2"/>
    <x v="1"/>
    <x v="1"/>
    <s v="No"/>
    <n v="0"/>
    <n v="0"/>
    <n v="5"/>
  </r>
  <r>
    <n v="3279"/>
    <s v="Nilo Peçanha"/>
    <x v="0"/>
    <d v="2024-04-14T00:00:00"/>
    <s v="No"/>
    <n v="15"/>
    <x v="0"/>
    <x v="0"/>
    <x v="0"/>
    <s v="Yes"/>
    <n v="20"/>
    <n v="3"/>
    <n v="62"/>
  </r>
  <r>
    <n v="3280"/>
    <s v="Oscar Neves"/>
    <x v="2"/>
    <d v="2024-04-15T00:00:00"/>
    <s v="Yes"/>
    <n v="10"/>
    <x v="1"/>
    <x v="1"/>
    <x v="1"/>
    <s v="Yes"/>
    <n v="20"/>
    <n v="15"/>
    <n v="15"/>
  </r>
  <r>
    <n v="3281"/>
    <s v="Patrícia Soares"/>
    <x v="1"/>
    <d v="2024-04-16T00:00:00"/>
    <s v="No"/>
    <n v="5"/>
    <x v="0"/>
    <x v="1"/>
    <x v="1"/>
    <s v="No"/>
    <n v="0"/>
    <n v="1"/>
    <n v="4"/>
  </r>
  <r>
    <n v="3282"/>
    <s v="Quirino Gonçalves"/>
    <x v="0"/>
    <d v="2024-04-17T00:00:00"/>
    <s v="Yes"/>
    <n v="15"/>
    <x v="2"/>
    <x v="0"/>
    <x v="0"/>
    <s v="Yes"/>
    <n v="20"/>
    <n v="7"/>
    <n v="58"/>
  </r>
  <r>
    <n v="3283"/>
    <s v="Raul Machado"/>
    <x v="2"/>
    <d v="2024-04-18T00:00:00"/>
    <s v="No"/>
    <n v="10"/>
    <x v="0"/>
    <x v="1"/>
    <x v="1"/>
    <s v="Yes"/>
    <n v="20"/>
    <n v="10"/>
    <n v="20"/>
  </r>
  <r>
    <n v="3284"/>
    <s v="Sônia Lobo"/>
    <x v="1"/>
    <d v="2024-04-19T00:00:00"/>
    <s v="Yes"/>
    <n v="5"/>
    <x v="1"/>
    <x v="1"/>
    <x v="1"/>
    <s v="No"/>
    <n v="0"/>
    <n v="0"/>
    <n v="5"/>
  </r>
  <r>
    <n v="3285"/>
    <s v="Tiago Ramos"/>
    <x v="0"/>
    <d v="2024-04-20T00:00:00"/>
    <s v="No"/>
    <n v="15"/>
    <x v="0"/>
    <x v="0"/>
    <x v="0"/>
    <s v="Yes"/>
    <n v="20"/>
    <n v="20"/>
    <n v="45"/>
  </r>
  <r>
    <n v="3286"/>
    <s v="Ugo Pires"/>
    <x v="2"/>
    <d v="2024-04-21T00:00:00"/>
    <s v="Yes"/>
    <n v="10"/>
    <x v="2"/>
    <x v="1"/>
    <x v="1"/>
    <s v="Yes"/>
    <n v="20"/>
    <n v="15"/>
    <n v="15"/>
  </r>
  <r>
    <n v="3287"/>
    <s v="Valéria Nobre"/>
    <x v="1"/>
    <d v="2024-04-22T00:00:00"/>
    <s v="No"/>
    <n v="5"/>
    <x v="0"/>
    <x v="1"/>
    <x v="1"/>
    <s v="No"/>
    <n v="0"/>
    <n v="1"/>
    <n v="4"/>
  </r>
  <r>
    <n v="3288"/>
    <s v="William Siqueira"/>
    <x v="0"/>
    <d v="2024-04-23T00:00:00"/>
    <s v="Yes"/>
    <n v="15"/>
    <x v="1"/>
    <x v="0"/>
    <x v="0"/>
    <s v="Yes"/>
    <n v="20"/>
    <n v="3"/>
    <n v="62"/>
  </r>
  <r>
    <n v="3289"/>
    <s v="Xuxa Meneghel"/>
    <x v="2"/>
    <d v="2024-04-24T00:00:00"/>
    <s v="No"/>
    <n v="10"/>
    <x v="0"/>
    <x v="1"/>
    <x v="1"/>
    <s v="Yes"/>
    <n v="20"/>
    <n v="10"/>
    <n v="20"/>
  </r>
  <r>
    <n v="3290"/>
    <s v="Yara Figueiredo"/>
    <x v="1"/>
    <d v="2024-04-25T00:00:00"/>
    <s v="Yes"/>
    <n v="5"/>
    <x v="2"/>
    <x v="1"/>
    <x v="1"/>
    <s v="No"/>
    <n v="0"/>
    <n v="0"/>
    <n v="5"/>
  </r>
  <r>
    <n v="3291"/>
    <s v="Zacarias Alves"/>
    <x v="0"/>
    <d v="2024-04-26T00:00:00"/>
    <s v="No"/>
    <n v="15"/>
    <x v="0"/>
    <x v="0"/>
    <x v="0"/>
    <s v="Yes"/>
    <n v="20"/>
    <n v="5"/>
    <n v="60"/>
  </r>
  <r>
    <n v="3292"/>
    <s v="Amanda Bynes"/>
    <x v="2"/>
    <d v="2024-04-27T00:00:00"/>
    <s v="Yes"/>
    <n v="10"/>
    <x v="1"/>
    <x v="1"/>
    <x v="1"/>
    <s v="Yes"/>
    <n v="20"/>
    <n v="15"/>
    <n v="15"/>
  </r>
  <r>
    <n v="3293"/>
    <s v="Bruno Mars"/>
    <x v="1"/>
    <d v="2024-04-28T00:00:00"/>
    <s v="No"/>
    <n v="5"/>
    <x v="0"/>
    <x v="1"/>
    <x v="1"/>
    <s v="No"/>
    <n v="0"/>
    <n v="1"/>
    <n v="4"/>
  </r>
  <r>
    <n v="3294"/>
    <s v="Carla Bruni"/>
    <x v="0"/>
    <d v="2024-04-29T00:00:00"/>
    <s v="Yes"/>
    <n v="15"/>
    <x v="2"/>
    <x v="0"/>
    <x v="0"/>
    <s v="Yes"/>
    <n v="20"/>
    <n v="20"/>
    <n v="45"/>
  </r>
  <r>
    <n v="3295"/>
    <s v="Diego Maradona"/>
    <x v="2"/>
    <d v="2024-04-30T00:00:00"/>
    <s v="No"/>
    <n v="10"/>
    <x v="0"/>
    <x v="1"/>
    <x v="1"/>
    <s v="Yes"/>
    <n v="20"/>
    <n v="5"/>
    <n v="25"/>
  </r>
  <r>
    <n v="3296"/>
    <s v="Estela Marques"/>
    <x v="1"/>
    <d v="2024-05-01T00:00:00"/>
    <s v="No"/>
    <n v="5"/>
    <x v="0"/>
    <x v="1"/>
    <x v="1"/>
    <s v="No"/>
    <n v="0"/>
    <n v="0"/>
    <n v="5"/>
  </r>
  <r>
    <n v="3297"/>
    <s v="Fábio Nobre"/>
    <x v="0"/>
    <d v="2024-05-02T00:00:00"/>
    <s v="Yes"/>
    <n v="15"/>
    <x v="2"/>
    <x v="0"/>
    <x v="0"/>
    <s v="Yes"/>
    <n v="20"/>
    <n v="7"/>
    <n v="58"/>
  </r>
  <r>
    <n v="3298"/>
    <s v="Gabriel Oliveira"/>
    <x v="2"/>
    <d v="2024-05-03T00:00:00"/>
    <s v="No"/>
    <n v="10"/>
    <x v="1"/>
    <x v="1"/>
    <x v="1"/>
    <s v="Yes"/>
    <n v="20"/>
    <n v="10"/>
    <n v="20"/>
  </r>
  <r>
    <n v="3299"/>
    <s v="Helena Santos"/>
    <x v="1"/>
    <d v="2024-05-04T00:00:00"/>
    <s v="Yes"/>
    <n v="5"/>
    <x v="2"/>
    <x v="1"/>
    <x v="1"/>
    <s v="No"/>
    <n v="0"/>
    <n v="1"/>
    <n v="4"/>
  </r>
  <r>
    <n v="3300"/>
    <s v="Ivan Carvalho"/>
    <x v="0"/>
    <d v="2024-05-05T00:00:00"/>
    <s v="No"/>
    <n v="15"/>
    <x v="0"/>
    <x v="0"/>
    <x v="0"/>
    <s v="Yes"/>
    <n v="20"/>
    <n v="15"/>
    <n v="50"/>
  </r>
  <r>
    <n v="3301"/>
    <s v="Júlia Ferreira"/>
    <x v="2"/>
    <d v="2024-05-06T00:00:00"/>
    <s v="Yes"/>
    <n v="10"/>
    <x v="0"/>
    <x v="1"/>
    <x v="1"/>
    <s v="Yes"/>
    <n v="20"/>
    <n v="5"/>
    <n v="25"/>
  </r>
  <r>
    <n v="3302"/>
    <s v="Karla Alves"/>
    <x v="1"/>
    <d v="2024-05-07T00:00:00"/>
    <s v="No"/>
    <n v="5"/>
    <x v="1"/>
    <x v="1"/>
    <x v="1"/>
    <s v="No"/>
    <n v="0"/>
    <n v="0"/>
    <n v="5"/>
  </r>
  <r>
    <n v="3303"/>
    <s v="Lucas Mendes"/>
    <x v="0"/>
    <d v="2024-05-08T00:00:00"/>
    <s v="Yes"/>
    <n v="15"/>
    <x v="2"/>
    <x v="0"/>
    <x v="0"/>
    <s v="Yes"/>
    <n v="20"/>
    <n v="20"/>
    <n v="45"/>
  </r>
  <r>
    <n v="3304"/>
    <s v="Mônica Gomes"/>
    <x v="2"/>
    <d v="2024-05-09T00:00:00"/>
    <s v="No"/>
    <n v="10"/>
    <x v="2"/>
    <x v="1"/>
    <x v="1"/>
    <s v="Yes"/>
    <n v="20"/>
    <n v="12"/>
    <n v="18"/>
  </r>
  <r>
    <n v="3305"/>
    <s v="Norberto Queiroz"/>
    <x v="1"/>
    <d v="2024-05-10T00:00:00"/>
    <s v="Yes"/>
    <n v="5"/>
    <x v="0"/>
    <x v="1"/>
    <x v="1"/>
    <s v="No"/>
    <n v="0"/>
    <n v="2"/>
    <n v="3"/>
  </r>
  <r>
    <n v="3306"/>
    <s v="Otávio Barros"/>
    <x v="0"/>
    <d v="2024-05-11T00:00:00"/>
    <s v="No"/>
    <n v="15"/>
    <x v="1"/>
    <x v="0"/>
    <x v="0"/>
    <s v="Yes"/>
    <n v="20"/>
    <n v="5"/>
    <n v="60"/>
  </r>
  <r>
    <n v="3307"/>
    <s v="Paula Vieira"/>
    <x v="2"/>
    <d v="2024-05-12T00:00:00"/>
    <s v="Yes"/>
    <n v="10"/>
    <x v="0"/>
    <x v="1"/>
    <x v="1"/>
    <s v="Yes"/>
    <n v="20"/>
    <n v="10"/>
    <n v="20"/>
  </r>
  <r>
    <n v="3308"/>
    <s v="Quentin Ramos"/>
    <x v="1"/>
    <d v="2024-05-13T00:00:00"/>
    <s v="No"/>
    <n v="5"/>
    <x v="2"/>
    <x v="1"/>
    <x v="1"/>
    <s v="No"/>
    <n v="0"/>
    <n v="0"/>
    <n v="5"/>
  </r>
  <r>
    <n v="3309"/>
    <s v="Raquel Novaes"/>
    <x v="0"/>
    <d v="2024-05-14T00:00:00"/>
    <s v="Yes"/>
    <n v="15"/>
    <x v="0"/>
    <x v="0"/>
    <x v="0"/>
    <s v="Yes"/>
    <n v="20"/>
    <n v="3"/>
    <n v="62"/>
  </r>
  <r>
    <n v="3310"/>
    <s v="Samantha Lopes"/>
    <x v="2"/>
    <d v="2024-05-15T00:00:00"/>
    <s v="No"/>
    <n v="10"/>
    <x v="1"/>
    <x v="1"/>
    <x v="1"/>
    <s v="Yes"/>
    <n v="20"/>
    <n v="15"/>
    <n v="15"/>
  </r>
  <r>
    <n v="3311"/>
    <s v="Tiago Martins"/>
    <x v="1"/>
    <d v="2024-05-16T00:00:00"/>
    <s v="Yes"/>
    <n v="5"/>
    <x v="0"/>
    <x v="1"/>
    <x v="1"/>
    <s v="No"/>
    <n v="0"/>
    <n v="1"/>
    <n v="4"/>
  </r>
  <r>
    <n v="3312"/>
    <s v="Ulysses Guimarães"/>
    <x v="0"/>
    <d v="2024-05-17T00:00:00"/>
    <s v="No"/>
    <n v="15"/>
    <x v="2"/>
    <x v="0"/>
    <x v="0"/>
    <s v="Yes"/>
    <n v="20"/>
    <n v="7"/>
    <n v="58"/>
  </r>
  <r>
    <n v="3313"/>
    <s v="Vanessa Silva"/>
    <x v="2"/>
    <d v="2024-05-18T00:00:00"/>
    <s v="Yes"/>
    <n v="10"/>
    <x v="0"/>
    <x v="1"/>
    <x v="1"/>
    <s v="Yes"/>
    <n v="20"/>
    <n v="10"/>
    <n v="20"/>
  </r>
  <r>
    <n v="3314"/>
    <s v="William Carneiro"/>
    <x v="1"/>
    <d v="2024-05-19T00:00:00"/>
    <s v="No"/>
    <n v="5"/>
    <x v="1"/>
    <x v="1"/>
    <x v="1"/>
    <s v="No"/>
    <n v="0"/>
    <n v="0"/>
    <n v="5"/>
  </r>
  <r>
    <n v="3315"/>
    <s v="Ximena Rocha"/>
    <x v="0"/>
    <d v="2024-05-20T00:00:00"/>
    <s v="Yes"/>
    <n v="15"/>
    <x v="0"/>
    <x v="0"/>
    <x v="0"/>
    <s v="Yes"/>
    <n v="20"/>
    <n v="20"/>
    <n v="45"/>
  </r>
  <r>
    <n v="3316"/>
    <s v="Yasmin Figueiredo"/>
    <x v="2"/>
    <d v="2024-05-21T00:00:00"/>
    <s v="No"/>
    <n v="10"/>
    <x v="2"/>
    <x v="1"/>
    <x v="1"/>
    <s v="Yes"/>
    <n v="20"/>
    <n v="15"/>
    <n v="15"/>
  </r>
  <r>
    <n v="3317"/>
    <s v="Zara Cunha"/>
    <x v="1"/>
    <d v="2024-05-22T00:00:00"/>
    <s v="Yes"/>
    <n v="5"/>
    <x v="0"/>
    <x v="1"/>
    <x v="1"/>
    <s v="No"/>
    <n v="0"/>
    <n v="1"/>
    <n v="4"/>
  </r>
  <r>
    <n v="3318"/>
    <s v="Alan Teixeira"/>
    <x v="0"/>
    <d v="2024-05-23T00:00:00"/>
    <s v="No"/>
    <n v="15"/>
    <x v="1"/>
    <x v="0"/>
    <x v="0"/>
    <s v="Yes"/>
    <n v="20"/>
    <n v="3"/>
    <n v="62"/>
  </r>
  <r>
    <n v="3319"/>
    <s v="Bárbara Oliveira"/>
    <x v="2"/>
    <d v="2024-05-24T00:00:00"/>
    <s v="Yes"/>
    <n v="10"/>
    <x v="0"/>
    <x v="1"/>
    <x v="1"/>
    <s v="Yes"/>
    <n v="20"/>
    <n v="10"/>
    <n v="20"/>
  </r>
  <r>
    <n v="3320"/>
    <s v="Carlos Junqueira"/>
    <x v="1"/>
    <d v="2024-05-25T00:00:00"/>
    <s v="No"/>
    <n v="5"/>
    <x v="2"/>
    <x v="1"/>
    <x v="1"/>
    <s v="No"/>
    <n v="0"/>
    <n v="0"/>
    <n v="5"/>
  </r>
  <r>
    <n v="3321"/>
    <s v="Daniela Moura"/>
    <x v="0"/>
    <d v="2024-05-26T00:00:00"/>
    <s v="Yes"/>
    <n v="15"/>
    <x v="0"/>
    <x v="0"/>
    <x v="0"/>
    <s v="Yes"/>
    <n v="20"/>
    <n v="5"/>
    <n v="60"/>
  </r>
  <r>
    <n v="3322"/>
    <s v="Eduardo Lima"/>
    <x v="2"/>
    <d v="2024-05-27T00:00:00"/>
    <s v="No"/>
    <n v="10"/>
    <x v="1"/>
    <x v="1"/>
    <x v="1"/>
    <s v="Yes"/>
    <n v="20"/>
    <n v="15"/>
    <n v="15"/>
  </r>
  <r>
    <n v="3323"/>
    <s v="Fabiana Araújo"/>
    <x v="1"/>
    <d v="2024-05-28T00:00:00"/>
    <s v="Yes"/>
    <n v="5"/>
    <x v="0"/>
    <x v="1"/>
    <x v="1"/>
    <s v="No"/>
    <n v="0"/>
    <n v="1"/>
    <n v="4"/>
  </r>
  <r>
    <n v="3324"/>
    <s v="Geraldo Ribeiro"/>
    <x v="0"/>
    <d v="2024-05-29T00:00:00"/>
    <s v="No"/>
    <n v="15"/>
    <x v="2"/>
    <x v="0"/>
    <x v="0"/>
    <s v="Yes"/>
    <n v="20"/>
    <n v="20"/>
    <n v="45"/>
  </r>
  <r>
    <n v="3325"/>
    <s v="Héctor Vargas"/>
    <x v="2"/>
    <d v="2024-05-30T00:00:00"/>
    <s v="Yes"/>
    <n v="10"/>
    <x v="2"/>
    <x v="1"/>
    <x v="1"/>
    <s v="Yes"/>
    <n v="20"/>
    <n v="15"/>
    <n v="15"/>
  </r>
  <r>
    <n v="3326"/>
    <s v="Isabela Fonseca"/>
    <x v="1"/>
    <d v="2024-05-31T00:00:00"/>
    <s v="No"/>
    <n v="5"/>
    <x v="1"/>
    <x v="1"/>
    <x v="1"/>
    <s v="No"/>
    <n v="0"/>
    <n v="0"/>
    <n v="5"/>
  </r>
  <r>
    <n v="3327"/>
    <s v="João Pedro Almeida"/>
    <x v="0"/>
    <d v="2024-06-01T00:00:00"/>
    <s v="Yes"/>
    <n v="15"/>
    <x v="0"/>
    <x v="0"/>
    <x v="0"/>
    <s v="Yes"/>
    <n v="20"/>
    <n v="7"/>
    <n v="58"/>
  </r>
  <r>
    <n v="3328"/>
    <s v="Klara Costa"/>
    <x v="2"/>
    <d v="2024-06-02T00:00:00"/>
    <s v="No"/>
    <n v="10"/>
    <x v="1"/>
    <x v="1"/>
    <x v="1"/>
    <s v="Yes"/>
    <n v="20"/>
    <n v="10"/>
    <n v="20"/>
  </r>
  <r>
    <n v="3329"/>
    <s v="Luciana Mendes"/>
    <x v="1"/>
    <d v="2024-06-03T00:00:00"/>
    <s v="Yes"/>
    <n v="5"/>
    <x v="2"/>
    <x v="1"/>
    <x v="1"/>
    <s v="No"/>
    <n v="0"/>
    <n v="1"/>
    <n v="4"/>
  </r>
  <r>
    <n v="3330"/>
    <s v="Marcelo Gouveia"/>
    <x v="0"/>
    <d v="2024-06-04T00:00:00"/>
    <s v="No"/>
    <n v="15"/>
    <x v="0"/>
    <x v="0"/>
    <x v="0"/>
    <s v="Yes"/>
    <n v="20"/>
    <n v="15"/>
    <n v="50"/>
  </r>
  <r>
    <n v="3331"/>
    <s v="Nívea Borges"/>
    <x v="2"/>
    <d v="2024-06-05T00:00:00"/>
    <s v="Yes"/>
    <n v="10"/>
    <x v="0"/>
    <x v="1"/>
    <x v="1"/>
    <s v="Yes"/>
    <n v="20"/>
    <n v="5"/>
    <n v="25"/>
  </r>
  <r>
    <n v="3332"/>
    <s v="Oscar Nogueira"/>
    <x v="1"/>
    <d v="2024-06-06T00:00:00"/>
    <s v="No"/>
    <n v="5"/>
    <x v="1"/>
    <x v="1"/>
    <x v="1"/>
    <s v="No"/>
    <n v="0"/>
    <n v="0"/>
    <n v="5"/>
  </r>
  <r>
    <n v="3333"/>
    <s v="Patrícia Alves"/>
    <x v="0"/>
    <d v="2024-06-07T00:00:00"/>
    <s v="Yes"/>
    <n v="15"/>
    <x v="2"/>
    <x v="0"/>
    <x v="0"/>
    <s v="Yes"/>
    <n v="20"/>
    <n v="20"/>
    <n v="45"/>
  </r>
  <r>
    <n v="3334"/>
    <s v="Rafaela Silva"/>
    <x v="2"/>
    <d v="2024-06-08T00:00:00"/>
    <s v="No"/>
    <n v="10"/>
    <x v="2"/>
    <x v="1"/>
    <x v="1"/>
    <s v="Yes"/>
    <n v="20"/>
    <n v="12"/>
    <n v="18"/>
  </r>
  <r>
    <n v="3335"/>
    <s v="Samantha Moraes"/>
    <x v="1"/>
    <d v="2024-06-09T00:00:00"/>
    <s v="Yes"/>
    <n v="5"/>
    <x v="0"/>
    <x v="1"/>
    <x v="1"/>
    <s v="No"/>
    <n v="0"/>
    <n v="2"/>
    <n v="3"/>
  </r>
  <r>
    <n v="3336"/>
    <s v="Tatiana Rocha"/>
    <x v="1"/>
    <d v="2024-06-10T00:00:00"/>
    <s v="Yes"/>
    <n v="5"/>
    <x v="0"/>
    <x v="1"/>
    <x v="1"/>
    <s v="No"/>
    <n v="0"/>
    <n v="0"/>
    <n v="5"/>
  </r>
  <r>
    <n v="3337"/>
    <s v="Ulisses Tavares"/>
    <x v="0"/>
    <d v="2024-06-11T00:00:00"/>
    <s v="No"/>
    <n v="15"/>
    <x v="2"/>
    <x v="0"/>
    <x v="0"/>
    <s v="Yes"/>
    <n v="20"/>
    <n v="7"/>
    <n v="58"/>
  </r>
  <r>
    <n v="3338"/>
    <s v="Víctor Lemos"/>
    <x v="2"/>
    <d v="2024-06-12T00:00:00"/>
    <s v="Yes"/>
    <n v="10"/>
    <x v="1"/>
    <x v="1"/>
    <x v="1"/>
    <s v="Yes"/>
    <n v="20"/>
    <n v="10"/>
    <n v="20"/>
  </r>
  <r>
    <n v="3339"/>
    <s v="Wilma Barros"/>
    <x v="1"/>
    <d v="2024-06-13T00:00:00"/>
    <s v="No"/>
    <n v="5"/>
    <x v="2"/>
    <x v="1"/>
    <x v="1"/>
    <s v="No"/>
    <n v="0"/>
    <n v="1"/>
    <n v="4"/>
  </r>
  <r>
    <n v="3340"/>
    <s v="Xavier Nascimento"/>
    <x v="0"/>
    <d v="2024-06-14T00:00:00"/>
    <s v="Yes"/>
    <n v="15"/>
    <x v="0"/>
    <x v="0"/>
    <x v="0"/>
    <s v="Yes"/>
    <n v="20"/>
    <n v="15"/>
    <n v="50"/>
  </r>
  <r>
    <n v="3341"/>
    <s v="Yago Pereira"/>
    <x v="2"/>
    <d v="2024-06-15T00:00:00"/>
    <s v="No"/>
    <n v="10"/>
    <x v="0"/>
    <x v="1"/>
    <x v="1"/>
    <s v="Yes"/>
    <n v="20"/>
    <n v="5"/>
    <n v="25"/>
  </r>
  <r>
    <n v="3342"/>
    <s v="Zilda Ferreira"/>
    <x v="1"/>
    <d v="2024-06-16T00:00:00"/>
    <s v="Yes"/>
    <n v="5"/>
    <x v="1"/>
    <x v="1"/>
    <x v="1"/>
    <s v="No"/>
    <n v="0"/>
    <n v="0"/>
    <n v="5"/>
  </r>
  <r>
    <n v="3343"/>
    <s v="Amanda Lopes"/>
    <x v="0"/>
    <d v="2024-06-17T00:00:00"/>
    <s v="No"/>
    <n v="15"/>
    <x v="2"/>
    <x v="0"/>
    <x v="0"/>
    <s v="Yes"/>
    <n v="20"/>
    <n v="20"/>
    <n v="45"/>
  </r>
  <r>
    <n v="3344"/>
    <s v="Bruno Miranda"/>
    <x v="2"/>
    <d v="2024-06-18T00:00:00"/>
    <s v="Yes"/>
    <n v="10"/>
    <x v="2"/>
    <x v="1"/>
    <x v="1"/>
    <s v="Yes"/>
    <n v="20"/>
    <n v="12"/>
    <n v="18"/>
  </r>
  <r>
    <n v="3345"/>
    <s v="Célia Torres"/>
    <x v="1"/>
    <d v="2024-06-19T00:00:00"/>
    <s v="No"/>
    <n v="5"/>
    <x v="0"/>
    <x v="1"/>
    <x v="1"/>
    <s v="No"/>
    <n v="0"/>
    <n v="2"/>
    <n v="3"/>
  </r>
  <r>
    <n v="3346"/>
    <s v="Diogo Souza"/>
    <x v="0"/>
    <d v="2024-06-20T00:00:00"/>
    <s v="Yes"/>
    <n v="15"/>
    <x v="1"/>
    <x v="0"/>
    <x v="0"/>
    <s v="Yes"/>
    <n v="20"/>
    <n v="5"/>
    <n v="60"/>
  </r>
  <r>
    <n v="3347"/>
    <s v="Elisa Castro"/>
    <x v="2"/>
    <d v="2024-06-21T00:00:00"/>
    <s v="No"/>
    <n v="10"/>
    <x v="0"/>
    <x v="1"/>
    <x v="1"/>
    <s v="Yes"/>
    <n v="20"/>
    <n v="10"/>
    <n v="20"/>
  </r>
  <r>
    <n v="3348"/>
    <s v="Fátima Lima"/>
    <x v="1"/>
    <d v="2024-06-22T00:00:00"/>
    <s v="Yes"/>
    <n v="5"/>
    <x v="2"/>
    <x v="1"/>
    <x v="1"/>
    <s v="No"/>
    <n v="0"/>
    <n v="0"/>
    <n v="5"/>
  </r>
  <r>
    <n v="3349"/>
    <s v="Geraldo Ribeiro"/>
    <x v="0"/>
    <d v="2024-06-23T00:00:00"/>
    <s v="No"/>
    <n v="15"/>
    <x v="0"/>
    <x v="0"/>
    <x v="0"/>
    <s v="Yes"/>
    <n v="20"/>
    <n v="3"/>
    <n v="62"/>
  </r>
  <r>
    <n v="3350"/>
    <s v="Hélio Martins"/>
    <x v="2"/>
    <d v="2024-06-24T00:00:00"/>
    <s v="Yes"/>
    <n v="10"/>
    <x v="1"/>
    <x v="1"/>
    <x v="1"/>
    <s v="Yes"/>
    <n v="20"/>
    <n v="15"/>
    <n v="15"/>
  </r>
  <r>
    <n v="3351"/>
    <s v="Íris Santos"/>
    <x v="1"/>
    <d v="2024-06-25T00:00:00"/>
    <s v="No"/>
    <n v="5"/>
    <x v="0"/>
    <x v="1"/>
    <x v="1"/>
    <s v="No"/>
    <n v="0"/>
    <n v="1"/>
    <n v="4"/>
  </r>
  <r>
    <n v="3352"/>
    <s v="João Marcelo"/>
    <x v="0"/>
    <d v="2024-06-26T00:00:00"/>
    <s v="Yes"/>
    <n v="15"/>
    <x v="2"/>
    <x v="0"/>
    <x v="0"/>
    <s v="Yes"/>
    <n v="20"/>
    <n v="7"/>
    <n v="58"/>
  </r>
  <r>
    <n v="3353"/>
    <s v="Larissa Gomes"/>
    <x v="2"/>
    <d v="2024-06-27T00:00:00"/>
    <s v="No"/>
    <n v="10"/>
    <x v="0"/>
    <x v="1"/>
    <x v="1"/>
    <s v="Yes"/>
    <n v="20"/>
    <n v="10"/>
    <n v="20"/>
  </r>
  <r>
    <n v="3354"/>
    <s v="Márcio Silva"/>
    <x v="1"/>
    <d v="2024-06-28T00:00:00"/>
    <s v="Yes"/>
    <n v="5"/>
    <x v="1"/>
    <x v="1"/>
    <x v="1"/>
    <s v="No"/>
    <n v="0"/>
    <n v="0"/>
    <n v="5"/>
  </r>
  <r>
    <n v="3355"/>
    <s v="Nadia Costa"/>
    <x v="0"/>
    <d v="2024-06-29T00:00:00"/>
    <s v="No"/>
    <n v="15"/>
    <x v="0"/>
    <x v="0"/>
    <x v="0"/>
    <s v="Yes"/>
    <n v="20"/>
    <n v="20"/>
    <n v="45"/>
  </r>
  <r>
    <n v="3356"/>
    <s v="Oscar Almeida"/>
    <x v="2"/>
    <d v="2024-06-30T00:00:00"/>
    <s v="Yes"/>
    <n v="10"/>
    <x v="2"/>
    <x v="1"/>
    <x v="1"/>
    <s v="Yes"/>
    <n v="20"/>
    <n v="15"/>
    <n v="15"/>
  </r>
  <r>
    <n v="3357"/>
    <s v="Patricia Soares"/>
    <x v="1"/>
    <d v="2024-07-01T00:00:00"/>
    <s v="No"/>
    <n v="5"/>
    <x v="0"/>
    <x v="1"/>
    <x v="1"/>
    <s v="No"/>
    <n v="0"/>
    <n v="1"/>
    <n v="4"/>
  </r>
  <r>
    <n v="3358"/>
    <s v="Quênia Barros"/>
    <x v="0"/>
    <d v="2024-07-02T00:00:00"/>
    <s v="Yes"/>
    <n v="15"/>
    <x v="1"/>
    <x v="0"/>
    <x v="0"/>
    <s v="Yes"/>
    <n v="20"/>
    <n v="3"/>
    <n v="62"/>
  </r>
  <r>
    <n v="3359"/>
    <s v="Rafael Torres"/>
    <x v="2"/>
    <d v="2024-07-03T00:00:00"/>
    <s v="No"/>
    <n v="10"/>
    <x v="0"/>
    <x v="1"/>
    <x v="1"/>
    <s v="Yes"/>
    <n v="20"/>
    <n v="10"/>
    <n v="20"/>
  </r>
  <r>
    <n v="3360"/>
    <s v="Silvia Nascimento"/>
    <x v="1"/>
    <d v="2024-07-04T00:00:00"/>
    <s v="Yes"/>
    <n v="5"/>
    <x v="2"/>
    <x v="1"/>
    <x v="1"/>
    <s v="No"/>
    <n v="0"/>
    <n v="0"/>
    <n v="5"/>
  </r>
  <r>
    <n v="3361"/>
    <s v="Tiago Mendes"/>
    <x v="0"/>
    <d v="2024-07-05T00:00:00"/>
    <s v="No"/>
    <n v="15"/>
    <x v="0"/>
    <x v="0"/>
    <x v="0"/>
    <s v="Yes"/>
    <n v="20"/>
    <n v="15"/>
    <n v="50"/>
  </r>
  <r>
    <n v="3362"/>
    <s v="Ursula Silva"/>
    <x v="2"/>
    <d v="2024-07-06T00:00:00"/>
    <s v="Yes"/>
    <n v="10"/>
    <x v="1"/>
    <x v="1"/>
    <x v="1"/>
    <s v="Yes"/>
    <n v="20"/>
    <n v="15"/>
    <n v="15"/>
  </r>
  <r>
    <n v="3363"/>
    <s v="Vanessa Moraes"/>
    <x v="1"/>
    <d v="2024-07-07T00:00:00"/>
    <s v="No"/>
    <n v="5"/>
    <x v="0"/>
    <x v="1"/>
    <x v="1"/>
    <s v="No"/>
    <n v="0"/>
    <n v="1"/>
    <n v="4"/>
  </r>
  <r>
    <n v="3364"/>
    <s v="Waldir Junior"/>
    <x v="0"/>
    <d v="2024-07-08T00:00:00"/>
    <s v="Yes"/>
    <n v="15"/>
    <x v="2"/>
    <x v="0"/>
    <x v="0"/>
    <s v="Yes"/>
    <n v="20"/>
    <n v="7"/>
    <n v="58"/>
  </r>
  <r>
    <n v="3365"/>
    <s v="Xavier Lopes"/>
    <x v="2"/>
    <d v="2024-07-09T00:00:00"/>
    <s v="No"/>
    <n v="10"/>
    <x v="0"/>
    <x v="1"/>
    <x v="1"/>
    <s v="Yes"/>
    <n v="20"/>
    <n v="10"/>
    <n v="20"/>
  </r>
  <r>
    <n v="3366"/>
    <s v="Yolanda Freitas"/>
    <x v="1"/>
    <d v="2024-07-10T00:00:00"/>
    <s v="Yes"/>
    <n v="5"/>
    <x v="0"/>
    <x v="1"/>
    <x v="1"/>
    <s v="No"/>
    <n v="0"/>
    <n v="0"/>
    <n v="5"/>
  </r>
  <r>
    <n v="3367"/>
    <s v="Zacarias Nunes"/>
    <x v="0"/>
    <d v="2024-07-11T00:00:00"/>
    <s v="No"/>
    <n v="15"/>
    <x v="2"/>
    <x v="0"/>
    <x v="0"/>
    <s v="Yes"/>
    <n v="20"/>
    <n v="7"/>
    <n v="58"/>
  </r>
  <r>
    <n v="3368"/>
    <s v="Ana Clara Barreto"/>
    <x v="2"/>
    <d v="2024-07-12T00:00:00"/>
    <s v="Yes"/>
    <n v="10"/>
    <x v="1"/>
    <x v="1"/>
    <x v="1"/>
    <s v="Yes"/>
    <n v="20"/>
    <n v="10"/>
    <n v="20"/>
  </r>
  <r>
    <n v="3369"/>
    <s v="Bruno Henrique"/>
    <x v="1"/>
    <d v="2024-07-13T00:00:00"/>
    <s v="No"/>
    <n v="5"/>
    <x v="2"/>
    <x v="1"/>
    <x v="1"/>
    <s v="No"/>
    <n v="0"/>
    <n v="1"/>
    <n v="4"/>
  </r>
  <r>
    <n v="3370"/>
    <s v="Carlos Eduardo"/>
    <x v="0"/>
    <d v="2024-07-14T00:00:00"/>
    <s v="Yes"/>
    <n v="15"/>
    <x v="0"/>
    <x v="0"/>
    <x v="0"/>
    <s v="Yes"/>
    <n v="20"/>
    <n v="15"/>
    <n v="50"/>
  </r>
  <r>
    <n v="3371"/>
    <s v="Débora Lima"/>
    <x v="2"/>
    <d v="2024-07-15T00:00:00"/>
    <s v="No"/>
    <n v="10"/>
    <x v="0"/>
    <x v="1"/>
    <x v="1"/>
    <s v="Yes"/>
    <n v="20"/>
    <n v="5"/>
    <n v="25"/>
  </r>
  <r>
    <n v="3372"/>
    <s v="Elisa Neves"/>
    <x v="1"/>
    <d v="2024-07-16T00:00:00"/>
    <s v="Yes"/>
    <n v="5"/>
    <x v="1"/>
    <x v="1"/>
    <x v="1"/>
    <s v="No"/>
    <n v="0"/>
    <n v="0"/>
    <n v="5"/>
  </r>
  <r>
    <n v="3373"/>
    <s v="Fabiano Gomes"/>
    <x v="0"/>
    <d v="2024-07-17T00:00:00"/>
    <s v="No"/>
    <n v="15"/>
    <x v="2"/>
    <x v="0"/>
    <x v="0"/>
    <s v="Yes"/>
    <n v="20"/>
    <n v="20"/>
    <n v="45"/>
  </r>
  <r>
    <n v="3374"/>
    <s v="Gisele Oliveira"/>
    <x v="2"/>
    <d v="2024-07-18T00:00:00"/>
    <s v="Yes"/>
    <n v="10"/>
    <x v="2"/>
    <x v="1"/>
    <x v="1"/>
    <s v="Yes"/>
    <n v="20"/>
    <n v="12"/>
    <n v="18"/>
  </r>
  <r>
    <n v="3375"/>
    <s v="Héctor Silva"/>
    <x v="1"/>
    <d v="2024-07-19T00:00:00"/>
    <s v="No"/>
    <n v="5"/>
    <x v="0"/>
    <x v="1"/>
    <x v="1"/>
    <s v="No"/>
    <n v="0"/>
    <n v="2"/>
    <n v="3"/>
  </r>
  <r>
    <n v="3376"/>
    <s v="Igor Martins"/>
    <x v="0"/>
    <d v="2024-07-20T00:00:00"/>
    <s v="Yes"/>
    <n v="15"/>
    <x v="1"/>
    <x v="0"/>
    <x v="0"/>
    <s v="Yes"/>
    <n v="20"/>
    <n v="5"/>
    <n v="60"/>
  </r>
  <r>
    <n v="3377"/>
    <s v="Joana Figueiredo"/>
    <x v="2"/>
    <d v="2024-07-21T00:00:00"/>
    <s v="No"/>
    <n v="10"/>
    <x v="0"/>
    <x v="1"/>
    <x v="1"/>
    <s v="Yes"/>
    <n v="20"/>
    <n v="10"/>
    <n v="20"/>
  </r>
  <r>
    <n v="3378"/>
    <s v="Kleber Machado"/>
    <x v="1"/>
    <d v="2024-07-22T00:00:00"/>
    <s v="Yes"/>
    <n v="5"/>
    <x v="2"/>
    <x v="1"/>
    <x v="1"/>
    <s v="No"/>
    <n v="0"/>
    <n v="0"/>
    <n v="5"/>
  </r>
  <r>
    <n v="3379"/>
    <s v="Luciana Santos"/>
    <x v="0"/>
    <d v="2024-07-23T00:00:00"/>
    <s v="No"/>
    <n v="15"/>
    <x v="0"/>
    <x v="0"/>
    <x v="0"/>
    <s v="Yes"/>
    <n v="20"/>
    <n v="3"/>
    <n v="62"/>
  </r>
  <r>
    <n v="3380"/>
    <s v="Marcos Teixeira"/>
    <x v="2"/>
    <d v="2024-07-24T00:00:00"/>
    <s v="Yes"/>
    <n v="10"/>
    <x v="1"/>
    <x v="1"/>
    <x v="1"/>
    <s v="Yes"/>
    <n v="20"/>
    <n v="15"/>
    <n v="15"/>
  </r>
  <r>
    <n v="3381"/>
    <s v="Natalia Costa"/>
    <x v="1"/>
    <d v="2024-07-25T00:00:00"/>
    <s v="No"/>
    <n v="5"/>
    <x v="0"/>
    <x v="1"/>
    <x v="1"/>
    <s v="No"/>
    <n v="0"/>
    <n v="1"/>
    <n v="4"/>
  </r>
  <r>
    <n v="3382"/>
    <s v="Oscar Ribeiro"/>
    <x v="0"/>
    <d v="2024-07-26T00:00:00"/>
    <s v="Yes"/>
    <n v="15"/>
    <x v="2"/>
    <x v="0"/>
    <x v="0"/>
    <s v="Yes"/>
    <n v="20"/>
    <n v="7"/>
    <n v="58"/>
  </r>
  <r>
    <n v="3383"/>
    <s v="Patricia Almeida"/>
    <x v="2"/>
    <d v="2024-07-27T00:00:00"/>
    <s v="No"/>
    <n v="10"/>
    <x v="0"/>
    <x v="1"/>
    <x v="1"/>
    <s v="Yes"/>
    <n v="20"/>
    <n v="10"/>
    <n v="20"/>
  </r>
  <r>
    <n v="3384"/>
    <s v="Quirino Junior"/>
    <x v="1"/>
    <d v="2024-07-28T00:00:00"/>
    <s v="Yes"/>
    <n v="5"/>
    <x v="1"/>
    <x v="1"/>
    <x v="1"/>
    <s v="No"/>
    <n v="0"/>
    <n v="0"/>
    <n v="5"/>
  </r>
  <r>
    <n v="3385"/>
    <s v="Renata Machado"/>
    <x v="0"/>
    <d v="2024-07-29T00:00:00"/>
    <s v="No"/>
    <n v="15"/>
    <x v="0"/>
    <x v="0"/>
    <x v="0"/>
    <s v="Yes"/>
    <n v="20"/>
    <n v="20"/>
    <n v="45"/>
  </r>
  <r>
    <n v="3386"/>
    <s v="Sônia Alves"/>
    <x v="2"/>
    <d v="2024-07-30T00:00:00"/>
    <s v="Yes"/>
    <n v="10"/>
    <x v="2"/>
    <x v="1"/>
    <x v="1"/>
    <s v="Yes"/>
    <n v="20"/>
    <n v="15"/>
    <n v="15"/>
  </r>
  <r>
    <n v="3387"/>
    <s v="Tiago Nunes"/>
    <x v="1"/>
    <d v="2024-07-31T00:00:00"/>
    <s v="No"/>
    <n v="5"/>
    <x v="0"/>
    <x v="1"/>
    <x v="1"/>
    <s v="No"/>
    <n v="0"/>
    <n v="1"/>
    <n v="4"/>
  </r>
  <r>
    <n v="3388"/>
    <s v="Ulysses Pereira"/>
    <x v="0"/>
    <d v="2024-08-01T00:00:00"/>
    <s v="Yes"/>
    <n v="15"/>
    <x v="1"/>
    <x v="0"/>
    <x v="0"/>
    <s v="Yes"/>
    <n v="20"/>
    <n v="3"/>
    <n v="62"/>
  </r>
  <r>
    <n v="3389"/>
    <s v="Vanessa Lima"/>
    <x v="2"/>
    <d v="2024-08-02T00:00:00"/>
    <s v="No"/>
    <n v="10"/>
    <x v="0"/>
    <x v="1"/>
    <x v="1"/>
    <s v="Yes"/>
    <n v="20"/>
    <n v="10"/>
    <n v="20"/>
  </r>
  <r>
    <n v="3390"/>
    <s v="Wagner Santos"/>
    <x v="1"/>
    <d v="2024-08-03T00:00:00"/>
    <s v="Yes"/>
    <n v="5"/>
    <x v="2"/>
    <x v="1"/>
    <x v="1"/>
    <s v="No"/>
    <n v="0"/>
    <n v="0"/>
    <n v="5"/>
  </r>
  <r>
    <n v="3391"/>
    <s v="Xuxa Meneghel"/>
    <x v="0"/>
    <d v="2024-08-04T00:00:00"/>
    <s v="No"/>
    <n v="15"/>
    <x v="0"/>
    <x v="0"/>
    <x v="0"/>
    <s v="Yes"/>
    <n v="20"/>
    <n v="15"/>
    <n v="50"/>
  </r>
  <r>
    <n v="3392"/>
    <s v="Yasmin Silva"/>
    <x v="2"/>
    <d v="2024-08-05T00:00:00"/>
    <s v="Yes"/>
    <n v="10"/>
    <x v="1"/>
    <x v="1"/>
    <x v="1"/>
    <s v="Yes"/>
    <n v="20"/>
    <n v="15"/>
    <n v="15"/>
  </r>
  <r>
    <n v="3393"/>
    <s v="Zacarias de Souza"/>
    <x v="1"/>
    <d v="2024-08-06T00:00:00"/>
    <s v="No"/>
    <n v="5"/>
    <x v="0"/>
    <x v="1"/>
    <x v="1"/>
    <s v="No"/>
    <n v="0"/>
    <n v="1"/>
    <n v="4"/>
  </r>
  <r>
    <n v="3394"/>
    <s v="André Lima"/>
    <x v="0"/>
    <d v="2024-08-07T00:00:00"/>
    <s v="Yes"/>
    <n v="15"/>
    <x v="2"/>
    <x v="0"/>
    <x v="0"/>
    <s v="Yes"/>
    <n v="20"/>
    <n v="7"/>
    <n v="58"/>
  </r>
  <r>
    <n v="3395"/>
    <s v="Bianca Freitas"/>
    <x v="2"/>
    <d v="2024-08-08T00:00:00"/>
    <s v="No"/>
    <n v="10"/>
    <x v="0"/>
    <x v="1"/>
    <x v="1"/>
    <s v="Yes"/>
    <n v="20"/>
    <n v="10"/>
    <n v="20"/>
  </r>
  <r>
    <n v="3396"/>
    <s v="Caio Mendes"/>
    <x v="1"/>
    <d v="2024-08-09T00:00:00"/>
    <s v="Yes"/>
    <n v="5"/>
    <x v="1"/>
    <x v="1"/>
    <x v="1"/>
    <s v="No"/>
    <n v="0"/>
    <n v="0"/>
    <n v="5"/>
  </r>
  <r>
    <n v="3397"/>
    <s v="Daniela Moura"/>
    <x v="0"/>
    <d v="2024-08-10T00:00:00"/>
    <s v="No"/>
    <n v="15"/>
    <x v="0"/>
    <x v="0"/>
    <x v="0"/>
    <s v="Yes"/>
    <n v="20"/>
    <n v="20"/>
    <n v="45"/>
  </r>
  <r>
    <n v="3398"/>
    <s v="Eduardo Costa"/>
    <x v="2"/>
    <d v="2024-08-11T00:00:00"/>
    <s v="Yes"/>
    <n v="10"/>
    <x v="2"/>
    <x v="1"/>
    <x v="1"/>
    <s v="Yes"/>
    <n v="20"/>
    <n v="15"/>
    <n v="15"/>
  </r>
  <r>
    <n v="3399"/>
    <s v="Fernanda Gomes"/>
    <x v="1"/>
    <d v="2024-08-12T00:00:00"/>
    <s v="No"/>
    <n v="5"/>
    <x v="0"/>
    <x v="1"/>
    <x v="1"/>
    <s v="No"/>
    <n v="0"/>
    <n v="1"/>
    <n v="4"/>
  </r>
  <r>
    <n v="3400"/>
    <s v="Guilherme Souza"/>
    <x v="0"/>
    <d v="2024-08-13T00:00:00"/>
    <s v="Yes"/>
    <n v="15"/>
    <x v="1"/>
    <x v="0"/>
    <x v="0"/>
    <s v="Yes"/>
    <n v="20"/>
    <n v="5"/>
    <n v="60"/>
  </r>
  <r>
    <n v="3401"/>
    <s v="Helena Ribeiro"/>
    <x v="2"/>
    <d v="2024-08-14T00:00:00"/>
    <s v="No"/>
    <n v="10"/>
    <x v="0"/>
    <x v="1"/>
    <x v="1"/>
    <s v="Yes"/>
    <n v="20"/>
    <n v="10"/>
    <n v="20"/>
  </r>
  <r>
    <n v="3402"/>
    <s v="Igor Santos"/>
    <x v="1"/>
    <d v="2024-08-15T00:00:00"/>
    <s v="Yes"/>
    <n v="5"/>
    <x v="2"/>
    <x v="1"/>
    <x v="1"/>
    <s v="No"/>
    <n v="0"/>
    <n v="0"/>
    <n v="5"/>
  </r>
  <r>
    <n v="3403"/>
    <s v="João Carvalho"/>
    <x v="0"/>
    <d v="2024-08-16T00:00:00"/>
    <s v="No"/>
    <n v="15"/>
    <x v="0"/>
    <x v="0"/>
    <x v="0"/>
    <s v="Yes"/>
    <n v="20"/>
    <n v="3"/>
    <n v="62"/>
  </r>
  <r>
    <n v="3404"/>
    <s v="Klara Fagundes"/>
    <x v="2"/>
    <d v="2024-08-17T00:00:00"/>
    <s v="Yes"/>
    <n v="10"/>
    <x v="1"/>
    <x v="1"/>
    <x v="1"/>
    <s v="Yes"/>
    <n v="20"/>
    <n v="15"/>
    <n v="15"/>
  </r>
  <r>
    <n v="3405"/>
    <s v="Lúcia Mendonça"/>
    <x v="1"/>
    <d v="2024-08-18T00:00:00"/>
    <s v="No"/>
    <n v="5"/>
    <x v="0"/>
    <x v="1"/>
    <x v="1"/>
    <s v="No"/>
    <n v="0"/>
    <n v="1"/>
    <n v="4"/>
  </r>
  <r>
    <n v="3406"/>
    <s v="Marcelo Novaes"/>
    <x v="1"/>
    <d v="2024-08-19T00:00:00"/>
    <s v="Yes"/>
    <n v="5"/>
    <x v="0"/>
    <x v="1"/>
    <x v="1"/>
    <s v="No"/>
    <n v="0"/>
    <n v="0"/>
    <n v="5"/>
  </r>
  <r>
    <n v="3407"/>
    <s v="Nina Pacheco"/>
    <x v="0"/>
    <d v="2024-08-20T00:00:00"/>
    <s v="No"/>
    <n v="15"/>
    <x v="2"/>
    <x v="0"/>
    <x v="0"/>
    <s v="Yes"/>
    <n v="20"/>
    <n v="7"/>
    <n v="58"/>
  </r>
  <r>
    <n v="3408"/>
    <s v="Olívia Rios"/>
    <x v="2"/>
    <d v="2024-08-21T00:00:00"/>
    <s v="Yes"/>
    <n v="10"/>
    <x v="1"/>
    <x v="1"/>
    <x v="1"/>
    <s v="Yes"/>
    <n v="20"/>
    <n v="10"/>
    <n v="20"/>
  </r>
  <r>
    <n v="3409"/>
    <s v="Paulo Quintana"/>
    <x v="1"/>
    <d v="2024-08-22T00:00:00"/>
    <s v="No"/>
    <n v="5"/>
    <x v="2"/>
    <x v="1"/>
    <x v="1"/>
    <s v="No"/>
    <n v="0"/>
    <n v="1"/>
    <n v="4"/>
  </r>
  <r>
    <n v="3410"/>
    <s v="Raquel Domingos"/>
    <x v="0"/>
    <d v="2024-08-23T00:00:00"/>
    <s v="Yes"/>
    <n v="15"/>
    <x v="0"/>
    <x v="0"/>
    <x v="0"/>
    <s v="Yes"/>
    <n v="20"/>
    <n v="15"/>
    <n v="50"/>
  </r>
  <r>
    <n v="3411"/>
    <s v="Samuel Viana"/>
    <x v="2"/>
    <d v="2024-08-24T00:00:00"/>
    <s v="No"/>
    <n v="10"/>
    <x v="0"/>
    <x v="1"/>
    <x v="1"/>
    <s v="Yes"/>
    <n v="20"/>
    <n v="5"/>
    <n v="25"/>
  </r>
  <r>
    <n v="3412"/>
    <s v="Tatiane Rocha"/>
    <x v="1"/>
    <d v="2024-08-25T00:00:00"/>
    <s v="Yes"/>
    <n v="5"/>
    <x v="1"/>
    <x v="1"/>
    <x v="1"/>
    <s v="No"/>
    <n v="0"/>
    <n v="0"/>
    <n v="5"/>
  </r>
  <r>
    <n v="3413"/>
    <s v="Ulysses Farias"/>
    <x v="0"/>
    <d v="2024-08-26T00:00:00"/>
    <s v="No"/>
    <n v="15"/>
    <x v="2"/>
    <x v="0"/>
    <x v="0"/>
    <s v="Yes"/>
    <n v="20"/>
    <n v="20"/>
    <n v="45"/>
  </r>
  <r>
    <n v="3414"/>
    <s v="Vanessa Moreira"/>
    <x v="2"/>
    <d v="2024-08-27T00:00:00"/>
    <s v="Yes"/>
    <n v="10"/>
    <x v="2"/>
    <x v="1"/>
    <x v="1"/>
    <s v="Yes"/>
    <n v="20"/>
    <n v="12"/>
    <n v="18"/>
  </r>
  <r>
    <n v="3415"/>
    <s v="William Carvalho"/>
    <x v="1"/>
    <d v="2024-08-28T00:00:00"/>
    <s v="No"/>
    <n v="5"/>
    <x v="0"/>
    <x v="1"/>
    <x v="1"/>
    <s v="No"/>
    <n v="0"/>
    <n v="2"/>
    <n v="3"/>
  </r>
  <r>
    <n v="3416"/>
    <s v="Ximena Barros"/>
    <x v="0"/>
    <d v="2024-08-29T00:00:00"/>
    <s v="Yes"/>
    <n v="15"/>
    <x v="1"/>
    <x v="0"/>
    <x v="0"/>
    <s v="Yes"/>
    <n v="20"/>
    <n v="5"/>
    <n v="60"/>
  </r>
  <r>
    <n v="3417"/>
    <s v="Yara Machado"/>
    <x v="2"/>
    <d v="2024-08-30T00:00:00"/>
    <s v="No"/>
    <n v="10"/>
    <x v="0"/>
    <x v="1"/>
    <x v="1"/>
    <s v="Yes"/>
    <n v="20"/>
    <n v="10"/>
    <n v="20"/>
  </r>
  <r>
    <n v="3418"/>
    <s v="Zacarias Costa"/>
    <x v="1"/>
    <d v="2024-08-31T00:00:00"/>
    <s v="Yes"/>
    <n v="5"/>
    <x v="2"/>
    <x v="1"/>
    <x v="1"/>
    <s v="No"/>
    <n v="0"/>
    <n v="0"/>
    <n v="5"/>
  </r>
  <r>
    <n v="3419"/>
    <s v="André Lopes"/>
    <x v="0"/>
    <d v="2024-09-01T00:00:00"/>
    <s v="No"/>
    <n v="15"/>
    <x v="0"/>
    <x v="0"/>
    <x v="0"/>
    <s v="Yes"/>
    <n v="20"/>
    <n v="3"/>
    <n v="62"/>
  </r>
  <r>
    <n v="3420"/>
    <s v="Beatriz Souza"/>
    <x v="2"/>
    <d v="2024-09-02T00:00:00"/>
    <s v="Yes"/>
    <n v="10"/>
    <x v="1"/>
    <x v="1"/>
    <x v="1"/>
    <s v="Yes"/>
    <n v="20"/>
    <n v="15"/>
    <n v="15"/>
  </r>
  <r>
    <n v="3421"/>
    <s v="Caio Pereira"/>
    <x v="1"/>
    <d v="2024-09-03T00:00:00"/>
    <s v="No"/>
    <n v="5"/>
    <x v="0"/>
    <x v="1"/>
    <x v="1"/>
    <s v="No"/>
    <n v="0"/>
    <n v="1"/>
    <n v="4"/>
  </r>
  <r>
    <n v="3422"/>
    <s v="Daniela Araújo"/>
    <x v="0"/>
    <d v="2024-09-04T00:00:00"/>
    <s v="Yes"/>
    <n v="15"/>
    <x v="2"/>
    <x v="0"/>
    <x v="0"/>
    <s v="Yes"/>
    <n v="20"/>
    <n v="7"/>
    <n v="58"/>
  </r>
  <r>
    <n v="3423"/>
    <s v="Eduardo Santos"/>
    <x v="2"/>
    <d v="2024-09-05T00:00:00"/>
    <s v="No"/>
    <n v="10"/>
    <x v="0"/>
    <x v="1"/>
    <x v="1"/>
    <s v="Yes"/>
    <n v="20"/>
    <n v="10"/>
    <n v="20"/>
  </r>
  <r>
    <n v="3424"/>
    <s v="Fernanda Lima"/>
    <x v="1"/>
    <d v="2024-09-06T00:00:00"/>
    <s v="Yes"/>
    <n v="5"/>
    <x v="1"/>
    <x v="1"/>
    <x v="1"/>
    <s v="No"/>
    <n v="0"/>
    <n v="0"/>
    <n v="5"/>
  </r>
  <r>
    <n v="3425"/>
    <s v="Gabriel Teixeira"/>
    <x v="0"/>
    <d v="2024-09-07T00:00:00"/>
    <s v="No"/>
    <n v="15"/>
    <x v="0"/>
    <x v="0"/>
    <x v="0"/>
    <s v="Yes"/>
    <n v="20"/>
    <n v="20"/>
    <n v="45"/>
  </r>
  <r>
    <n v="3426"/>
    <s v="Helena Ribeiro"/>
    <x v="2"/>
    <d v="2024-09-08T00:00:00"/>
    <s v="Yes"/>
    <n v="10"/>
    <x v="2"/>
    <x v="1"/>
    <x v="1"/>
    <s v="Yes"/>
    <n v="20"/>
    <n v="15"/>
    <n v="15"/>
  </r>
  <r>
    <n v="3427"/>
    <s v="Igor Mendes"/>
    <x v="1"/>
    <d v="2024-09-09T00:00:00"/>
    <s v="No"/>
    <n v="5"/>
    <x v="0"/>
    <x v="1"/>
    <x v="1"/>
    <s v="No"/>
    <n v="0"/>
    <n v="1"/>
    <n v="4"/>
  </r>
  <r>
    <n v="3428"/>
    <s v="Joana Silveira"/>
    <x v="0"/>
    <d v="2024-09-10T00:00:00"/>
    <s v="Yes"/>
    <n v="15"/>
    <x v="1"/>
    <x v="0"/>
    <x v="0"/>
    <s v="Yes"/>
    <n v="20"/>
    <n v="3"/>
    <n v="62"/>
  </r>
  <r>
    <n v="3429"/>
    <s v="Lucas Martins"/>
    <x v="2"/>
    <d v="2024-09-11T00:00:00"/>
    <s v="No"/>
    <n v="10"/>
    <x v="0"/>
    <x v="1"/>
    <x v="1"/>
    <s v="Yes"/>
    <n v="20"/>
    <n v="10"/>
    <n v="20"/>
  </r>
  <r>
    <n v="3430"/>
    <s v="Marcela Gouveia"/>
    <x v="1"/>
    <d v="2024-09-12T00:00:00"/>
    <s v="Yes"/>
    <n v="5"/>
    <x v="2"/>
    <x v="1"/>
    <x v="1"/>
    <s v="No"/>
    <n v="0"/>
    <n v="0"/>
    <n v="5"/>
  </r>
  <r>
    <n v="3431"/>
    <s v="Nicolas Borges"/>
    <x v="0"/>
    <d v="2024-09-13T00:00:00"/>
    <s v="No"/>
    <n v="15"/>
    <x v="0"/>
    <x v="0"/>
    <x v="0"/>
    <s v="Yes"/>
    <n v="20"/>
    <n v="15"/>
    <n v="50"/>
  </r>
  <r>
    <n v="3432"/>
    <s v="Olivia Freitas"/>
    <x v="2"/>
    <d v="2024-09-14T00:00:00"/>
    <s v="Yes"/>
    <n v="10"/>
    <x v="1"/>
    <x v="1"/>
    <x v="1"/>
    <s v="Yes"/>
    <n v="20"/>
    <n v="15"/>
    <n v="15"/>
  </r>
  <r>
    <n v="3433"/>
    <s v="Paulo Nogueira"/>
    <x v="1"/>
    <d v="2024-09-15T00:00:00"/>
    <s v="No"/>
    <n v="5"/>
    <x v="0"/>
    <x v="1"/>
    <x v="1"/>
    <s v="No"/>
    <n v="0"/>
    <n v="1"/>
    <n v="4"/>
  </r>
  <r>
    <n v="3434"/>
    <s v="Raquel Andrade"/>
    <x v="0"/>
    <d v="2024-09-16T00:00:00"/>
    <s v="Yes"/>
    <n v="15"/>
    <x v="2"/>
    <x v="0"/>
    <x v="0"/>
    <s v="Yes"/>
    <n v="20"/>
    <n v="7"/>
    <n v="58"/>
  </r>
  <r>
    <n v="3435"/>
    <s v="Sônia Carvalho"/>
    <x v="2"/>
    <d v="2024-09-17T00:00:00"/>
    <s v="No"/>
    <n v="10"/>
    <x v="0"/>
    <x v="1"/>
    <x v="1"/>
    <s v="Yes"/>
    <n v="20"/>
    <n v="10"/>
    <n v="20"/>
  </r>
  <r>
    <n v="3436"/>
    <s v="Tiago Rodrigues"/>
    <x v="1"/>
    <d v="2024-09-18T00:00:00"/>
    <s v="Yes"/>
    <n v="5"/>
    <x v="0"/>
    <x v="1"/>
    <x v="1"/>
    <s v="No"/>
    <n v="0"/>
    <n v="0"/>
    <n v="5"/>
  </r>
  <r>
    <n v="3437"/>
    <s v="Ursula Monteiro"/>
    <x v="0"/>
    <d v="2024-09-19T00:00:00"/>
    <s v="No"/>
    <n v="15"/>
    <x v="2"/>
    <x v="0"/>
    <x v="0"/>
    <s v="Yes"/>
    <n v="20"/>
    <n v="7"/>
    <n v="58"/>
  </r>
  <r>
    <n v="3438"/>
    <s v="Vanessa Pereira"/>
    <x v="2"/>
    <d v="2024-09-20T00:00:00"/>
    <s v="Yes"/>
    <n v="10"/>
    <x v="1"/>
    <x v="1"/>
    <x v="1"/>
    <s v="Yes"/>
    <n v="20"/>
    <n v="10"/>
    <n v="20"/>
  </r>
  <r>
    <n v="3439"/>
    <s v="Walter Silva"/>
    <x v="1"/>
    <d v="2024-09-21T00:00:00"/>
    <s v="No"/>
    <n v="5"/>
    <x v="2"/>
    <x v="1"/>
    <x v="1"/>
    <s v="No"/>
    <n v="0"/>
    <n v="1"/>
    <n v="4"/>
  </r>
  <r>
    <n v="3440"/>
    <s v="Xavier Almeida"/>
    <x v="0"/>
    <d v="2024-09-22T00:00:00"/>
    <s v="Yes"/>
    <n v="15"/>
    <x v="0"/>
    <x v="0"/>
    <x v="0"/>
    <s v="Yes"/>
    <n v="20"/>
    <n v="15"/>
    <n v="50"/>
  </r>
  <r>
    <n v="3441"/>
    <s v="Yasmine Correia"/>
    <x v="2"/>
    <d v="2024-09-23T00:00:00"/>
    <s v="No"/>
    <n v="10"/>
    <x v="0"/>
    <x v="1"/>
    <x v="1"/>
    <s v="Yes"/>
    <n v="20"/>
    <n v="5"/>
    <n v="25"/>
  </r>
  <r>
    <n v="3442"/>
    <s v="Zacarias Almeida"/>
    <x v="1"/>
    <d v="2024-09-24T00:00:00"/>
    <s v="Yes"/>
    <n v="5"/>
    <x v="1"/>
    <x v="1"/>
    <x v="1"/>
    <s v="No"/>
    <n v="0"/>
    <n v="0"/>
    <n v="5"/>
  </r>
  <r>
    <n v="3443"/>
    <s v="Amanda Costa"/>
    <x v="0"/>
    <d v="2024-09-25T00:00:00"/>
    <s v="No"/>
    <n v="15"/>
    <x v="2"/>
    <x v="0"/>
    <x v="0"/>
    <s v="Yes"/>
    <n v="20"/>
    <n v="20"/>
    <n v="45"/>
  </r>
  <r>
    <n v="3444"/>
    <s v="Bruno Ferreira"/>
    <x v="2"/>
    <d v="2024-09-26T00:00:00"/>
    <s v="Yes"/>
    <n v="10"/>
    <x v="2"/>
    <x v="1"/>
    <x v="1"/>
    <s v="Yes"/>
    <n v="20"/>
    <n v="12"/>
    <n v="18"/>
  </r>
  <r>
    <n v="3445"/>
    <s v="Carla Dias"/>
    <x v="1"/>
    <d v="2024-09-27T00:00:00"/>
    <s v="No"/>
    <n v="5"/>
    <x v="0"/>
    <x v="1"/>
    <x v="1"/>
    <s v="No"/>
    <n v="0"/>
    <n v="2"/>
    <n v="3"/>
  </r>
  <r>
    <n v="3446"/>
    <s v="Diogo Martins"/>
    <x v="0"/>
    <d v="2024-09-28T00:00:00"/>
    <s v="Yes"/>
    <n v="15"/>
    <x v="1"/>
    <x v="0"/>
    <x v="0"/>
    <s v="Yes"/>
    <n v="20"/>
    <n v="5"/>
    <n v="60"/>
  </r>
  <r>
    <n v="3447"/>
    <s v="Elisa Campos"/>
    <x v="2"/>
    <d v="2024-09-29T00:00:00"/>
    <s v="No"/>
    <n v="10"/>
    <x v="0"/>
    <x v="1"/>
    <x v="1"/>
    <s v="Yes"/>
    <n v="20"/>
    <n v="10"/>
    <n v="20"/>
  </r>
  <r>
    <n v="3448"/>
    <s v="Fabiana Lima"/>
    <x v="1"/>
    <d v="2024-09-30T00:00:00"/>
    <s v="Yes"/>
    <n v="5"/>
    <x v="2"/>
    <x v="1"/>
    <x v="1"/>
    <s v="No"/>
    <n v="0"/>
    <n v="0"/>
    <n v="5"/>
  </r>
  <r>
    <n v="3449"/>
    <s v="Gabriel Santos"/>
    <x v="0"/>
    <d v="2024-10-01T00:00:00"/>
    <s v="No"/>
    <n v="15"/>
    <x v="0"/>
    <x v="0"/>
    <x v="0"/>
    <s v="Yes"/>
    <n v="20"/>
    <n v="3"/>
    <n v="62"/>
  </r>
  <r>
    <n v="3450"/>
    <s v="Helena Ferreira"/>
    <x v="2"/>
    <d v="2024-10-02T00:00:00"/>
    <s v="Yes"/>
    <n v="10"/>
    <x v="1"/>
    <x v="1"/>
    <x v="1"/>
    <s v="Yes"/>
    <n v="20"/>
    <n v="15"/>
    <n v="15"/>
  </r>
  <r>
    <n v="3451"/>
    <s v="Ígor Nunes"/>
    <x v="1"/>
    <d v="2024-10-03T00:00:00"/>
    <s v="No"/>
    <n v="5"/>
    <x v="0"/>
    <x v="1"/>
    <x v="1"/>
    <s v="No"/>
    <n v="0"/>
    <n v="1"/>
    <n v="4"/>
  </r>
  <r>
    <n v="3452"/>
    <s v="Joana Silveira"/>
    <x v="0"/>
    <d v="2024-10-04T00:00:00"/>
    <s v="Yes"/>
    <n v="15"/>
    <x v="2"/>
    <x v="0"/>
    <x v="0"/>
    <s v="Yes"/>
    <n v="20"/>
    <n v="7"/>
    <n v="58"/>
  </r>
  <r>
    <n v="3453"/>
    <s v="Kléber Oliveira"/>
    <x v="2"/>
    <d v="2024-10-05T00:00:00"/>
    <s v="No"/>
    <n v="10"/>
    <x v="0"/>
    <x v="1"/>
    <x v="1"/>
    <s v="Yes"/>
    <n v="20"/>
    <n v="10"/>
    <n v="20"/>
  </r>
  <r>
    <n v="3454"/>
    <s v="Luciana Morais"/>
    <x v="1"/>
    <d v="2024-10-06T00:00:00"/>
    <s v="Yes"/>
    <n v="5"/>
    <x v="1"/>
    <x v="1"/>
    <x v="1"/>
    <s v="No"/>
    <n v="0"/>
    <n v="0"/>
    <n v="5"/>
  </r>
  <r>
    <n v="3455"/>
    <s v="Marcos Vinícius"/>
    <x v="0"/>
    <d v="2024-10-07T00:00:00"/>
    <s v="No"/>
    <n v="15"/>
    <x v="0"/>
    <x v="0"/>
    <x v="0"/>
    <s v="Yes"/>
    <n v="20"/>
    <n v="20"/>
    <n v="45"/>
  </r>
  <r>
    <n v="3456"/>
    <s v="Natália Barros"/>
    <x v="2"/>
    <d v="2024-10-08T00:00:00"/>
    <s v="Yes"/>
    <n v="10"/>
    <x v="2"/>
    <x v="1"/>
    <x v="1"/>
    <s v="Yes"/>
    <n v="20"/>
    <n v="15"/>
    <n v="15"/>
  </r>
  <r>
    <n v="3457"/>
    <s v="Oscar Sampaio"/>
    <x v="1"/>
    <d v="2024-10-09T00:00:00"/>
    <s v="No"/>
    <n v="5"/>
    <x v="0"/>
    <x v="1"/>
    <x v="1"/>
    <s v="No"/>
    <n v="0"/>
    <n v="1"/>
    <n v="4"/>
  </r>
  <r>
    <n v="3458"/>
    <s v="Patrícia Leite"/>
    <x v="0"/>
    <d v="2024-10-10T00:00:00"/>
    <s v="Yes"/>
    <n v="15"/>
    <x v="1"/>
    <x v="0"/>
    <x v="0"/>
    <s v="Yes"/>
    <n v="20"/>
    <n v="3"/>
    <n v="62"/>
  </r>
  <r>
    <n v="3459"/>
    <s v="Quênia Rocha"/>
    <x v="2"/>
    <d v="2024-10-11T00:00:00"/>
    <s v="No"/>
    <n v="10"/>
    <x v="0"/>
    <x v="1"/>
    <x v="1"/>
    <s v="Yes"/>
    <n v="20"/>
    <n v="10"/>
    <n v="20"/>
  </r>
  <r>
    <n v="3460"/>
    <s v="Rafael Torres"/>
    <x v="1"/>
    <d v="2024-10-12T00:00:00"/>
    <s v="Yes"/>
    <n v="5"/>
    <x v="2"/>
    <x v="1"/>
    <x v="1"/>
    <s v="No"/>
    <n v="0"/>
    <n v="0"/>
    <n v="5"/>
  </r>
  <r>
    <n v="3461"/>
    <s v="Sandra Gouveia"/>
    <x v="0"/>
    <d v="2024-10-13T00:00:00"/>
    <s v="No"/>
    <n v="15"/>
    <x v="0"/>
    <x v="0"/>
    <x v="0"/>
    <s v="Yes"/>
    <n v="20"/>
    <n v="15"/>
    <n v="50"/>
  </r>
  <r>
    <n v="3462"/>
    <s v="Tiago Lacerda"/>
    <x v="2"/>
    <d v="2024-10-14T00:00:00"/>
    <s v="Yes"/>
    <n v="10"/>
    <x v="1"/>
    <x v="1"/>
    <x v="1"/>
    <s v="Yes"/>
    <n v="20"/>
    <n v="15"/>
    <n v="15"/>
  </r>
  <r>
    <n v="3463"/>
    <s v="Ursula Fonseca"/>
    <x v="1"/>
    <d v="2024-10-15T00:00:00"/>
    <s v="No"/>
    <n v="5"/>
    <x v="0"/>
    <x v="1"/>
    <x v="1"/>
    <s v="No"/>
    <n v="0"/>
    <n v="1"/>
    <n v="4"/>
  </r>
  <r>
    <n v="3464"/>
    <s v="Vanessa Andrade"/>
    <x v="0"/>
    <d v="2024-10-16T00:00:00"/>
    <s v="Yes"/>
    <n v="15"/>
    <x v="2"/>
    <x v="0"/>
    <x v="0"/>
    <s v="Yes"/>
    <n v="20"/>
    <n v="7"/>
    <n v="58"/>
  </r>
  <r>
    <n v="3465"/>
    <s v="William Castro"/>
    <x v="2"/>
    <d v="2024-10-17T00:00:00"/>
    <s v="No"/>
    <n v="10"/>
    <x v="0"/>
    <x v="1"/>
    <x v="1"/>
    <s v="Yes"/>
    <n v="20"/>
    <n v="10"/>
    <n v="20"/>
  </r>
  <r>
    <n v="3466"/>
    <s v="Xavier Monteiro"/>
    <x v="1"/>
    <d v="2024-10-18T00:00:00"/>
    <s v="Yes"/>
    <n v="5"/>
    <x v="1"/>
    <x v="1"/>
    <x v="1"/>
    <s v="No"/>
    <n v="0"/>
    <n v="0"/>
    <n v="5"/>
  </r>
  <r>
    <n v="3467"/>
    <s v="Yasmin Figueira"/>
    <x v="0"/>
    <d v="2024-10-19T00:00:00"/>
    <s v="No"/>
    <n v="15"/>
    <x v="0"/>
    <x v="0"/>
    <x v="0"/>
    <s v="Yes"/>
    <n v="20"/>
    <n v="15"/>
    <n v="50"/>
  </r>
  <r>
    <n v="3468"/>
    <s v="Zacarias Mendonça"/>
    <x v="2"/>
    <d v="2024-10-20T00:00:00"/>
    <s v="Yes"/>
    <n v="10"/>
    <x v="2"/>
    <x v="1"/>
    <x v="1"/>
    <s v="Yes"/>
    <n v="20"/>
    <n v="12"/>
    <n v="18"/>
  </r>
  <r>
    <n v="3469"/>
    <s v="Amanda Menezes"/>
    <x v="1"/>
    <d v="2024-10-21T00:00:00"/>
    <s v="No"/>
    <n v="5"/>
    <x v="0"/>
    <x v="1"/>
    <x v="1"/>
    <s v="No"/>
    <n v="0"/>
    <n v="2"/>
    <n v="3"/>
  </r>
  <r>
    <n v="3470"/>
    <s v="Bruno Santos"/>
    <x v="0"/>
    <d v="2024-10-22T00:00:00"/>
    <s v="Yes"/>
    <n v="15"/>
    <x v="1"/>
    <x v="0"/>
    <x v="0"/>
    <s v="Yes"/>
    <n v="20"/>
    <n v="5"/>
    <n v="60"/>
  </r>
  <r>
    <n v="3471"/>
    <s v="Carla Ferreira"/>
    <x v="2"/>
    <d v="2024-10-23T00:00:00"/>
    <s v="No"/>
    <n v="10"/>
    <x v="0"/>
    <x v="1"/>
    <x v="1"/>
    <s v="Yes"/>
    <n v="20"/>
    <n v="10"/>
    <n v="20"/>
  </r>
  <r>
    <n v="3472"/>
    <s v="Diogo Alves"/>
    <x v="1"/>
    <d v="2024-10-24T00:00:00"/>
    <s v="Yes"/>
    <n v="5"/>
    <x v="2"/>
    <x v="1"/>
    <x v="1"/>
    <s v="No"/>
    <n v="0"/>
    <n v="0"/>
    <n v="5"/>
  </r>
  <r>
    <n v="3473"/>
    <s v="Elisa Neves"/>
    <x v="0"/>
    <d v="2024-10-25T00:00:00"/>
    <s v="No"/>
    <n v="15"/>
    <x v="0"/>
    <x v="0"/>
    <x v="0"/>
    <s v="Yes"/>
    <n v="20"/>
    <n v="3"/>
    <n v="62"/>
  </r>
  <r>
    <n v="3474"/>
    <s v="Fabiano Pires"/>
    <x v="2"/>
    <d v="2024-10-26T00:00:00"/>
    <s v="Yes"/>
    <n v="10"/>
    <x v="1"/>
    <x v="1"/>
    <x v="1"/>
    <s v="Yes"/>
    <n v="20"/>
    <n v="15"/>
    <n v="15"/>
  </r>
  <r>
    <n v="3475"/>
    <s v="Giovana Ribeiro"/>
    <x v="1"/>
    <d v="2024-10-27T00:00:00"/>
    <s v="No"/>
    <n v="5"/>
    <x v="0"/>
    <x v="1"/>
    <x v="1"/>
    <s v="No"/>
    <n v="0"/>
    <n v="1"/>
    <n v="4"/>
  </r>
  <r>
    <n v="3476"/>
    <s v="Hélio Costa"/>
    <x v="0"/>
    <d v="2024-10-28T00:00:00"/>
    <s v="Yes"/>
    <n v="15"/>
    <x v="2"/>
    <x v="0"/>
    <x v="0"/>
    <s v="Yes"/>
    <n v="20"/>
    <n v="7"/>
    <n v="58"/>
  </r>
  <r>
    <n v="3477"/>
    <s v="Íris Loureiro"/>
    <x v="2"/>
    <d v="2024-10-29T00:00:00"/>
    <s v="No"/>
    <n v="10"/>
    <x v="0"/>
    <x v="1"/>
    <x v="1"/>
    <s v="Yes"/>
    <n v="20"/>
    <n v="10"/>
    <n v="20"/>
  </r>
  <r>
    <n v="3478"/>
    <s v="João Pereira"/>
    <x v="1"/>
    <d v="2024-10-30T00:00:00"/>
    <s v="Yes"/>
    <n v="5"/>
    <x v="1"/>
    <x v="1"/>
    <x v="1"/>
    <s v="No"/>
    <n v="0"/>
    <n v="0"/>
    <n v="5"/>
  </r>
  <r>
    <n v="3479"/>
    <s v="Klara Silva"/>
    <x v="0"/>
    <d v="2024-10-31T00:00:00"/>
    <s v="No"/>
    <n v="15"/>
    <x v="0"/>
    <x v="0"/>
    <x v="0"/>
    <s v="Yes"/>
    <n v="20"/>
    <n v="20"/>
    <n v="45"/>
  </r>
  <r>
    <n v="3480"/>
    <s v="Luciana Barros"/>
    <x v="2"/>
    <d v="2024-11-01T00:00:00"/>
    <s v="Yes"/>
    <n v="10"/>
    <x v="2"/>
    <x v="1"/>
    <x v="1"/>
    <s v="Yes"/>
    <n v="20"/>
    <n v="15"/>
    <n v="15"/>
  </r>
  <r>
    <n v="3481"/>
    <s v="Marcos Gomes"/>
    <x v="1"/>
    <d v="2024-11-02T00:00:00"/>
    <s v="No"/>
    <n v="5"/>
    <x v="0"/>
    <x v="1"/>
    <x v="1"/>
    <s v="No"/>
    <n v="0"/>
    <n v="1"/>
    <n v="4"/>
  </r>
  <r>
    <n v="3482"/>
    <s v="Natália Soares"/>
    <x v="0"/>
    <d v="2024-11-03T00:00:00"/>
    <s v="Yes"/>
    <n v="15"/>
    <x v="1"/>
    <x v="0"/>
    <x v="0"/>
    <s v="Yes"/>
    <n v="20"/>
    <n v="3"/>
    <n v="62"/>
  </r>
  <r>
    <n v="3483"/>
    <s v="Oscar Machado"/>
    <x v="2"/>
    <d v="2024-11-04T00:00:00"/>
    <s v="No"/>
    <n v="10"/>
    <x v="0"/>
    <x v="1"/>
    <x v="1"/>
    <s v="Yes"/>
    <n v="20"/>
    <n v="10"/>
    <n v="20"/>
  </r>
  <r>
    <n v="3484"/>
    <s v="Patrícia Lima"/>
    <x v="1"/>
    <d v="2024-11-05T00:00:00"/>
    <s v="Yes"/>
    <n v="5"/>
    <x v="2"/>
    <x v="1"/>
    <x v="1"/>
    <s v="No"/>
    <n v="0"/>
    <n v="0"/>
    <n v="5"/>
  </r>
  <r>
    <n v="3485"/>
    <s v="Quirino Neto"/>
    <x v="0"/>
    <d v="2024-11-06T00:00:00"/>
    <s v="No"/>
    <n v="15"/>
    <x v="0"/>
    <x v="0"/>
    <x v="0"/>
    <s v="Yes"/>
    <n v="20"/>
    <n v="15"/>
    <n v="50"/>
  </r>
  <r>
    <n v="3486"/>
    <s v="Rafaela Souza"/>
    <x v="1"/>
    <d v="2024-11-07T00:00:00"/>
    <s v="Yes"/>
    <n v="5"/>
    <x v="0"/>
    <x v="1"/>
    <x v="1"/>
    <s v="No"/>
    <n v="0"/>
    <n v="0"/>
    <n v="5"/>
  </r>
  <r>
    <n v="3487"/>
    <s v="Sandro Almeida"/>
    <x v="0"/>
    <d v="2024-11-08T00:00:00"/>
    <s v="No"/>
    <n v="15"/>
    <x v="2"/>
    <x v="0"/>
    <x v="0"/>
    <s v="Yes"/>
    <n v="20"/>
    <n v="7"/>
    <n v="58"/>
  </r>
  <r>
    <n v="3488"/>
    <s v="Tânia Ribeiro"/>
    <x v="2"/>
    <d v="2024-11-09T00:00:00"/>
    <s v="Yes"/>
    <n v="10"/>
    <x v="1"/>
    <x v="1"/>
    <x v="1"/>
    <s v="Yes"/>
    <n v="20"/>
    <n v="10"/>
    <n v="20"/>
  </r>
  <r>
    <n v="3489"/>
    <s v="Ugo Dias"/>
    <x v="1"/>
    <d v="2024-11-10T00:00:00"/>
    <s v="No"/>
    <n v="5"/>
    <x v="2"/>
    <x v="1"/>
    <x v="1"/>
    <s v="No"/>
    <n v="0"/>
    <n v="1"/>
    <n v="4"/>
  </r>
  <r>
    <n v="3490"/>
    <s v="Valéria Lima"/>
    <x v="0"/>
    <d v="2024-11-11T00:00:00"/>
    <s v="Yes"/>
    <n v="15"/>
    <x v="0"/>
    <x v="0"/>
    <x v="0"/>
    <s v="Yes"/>
    <n v="20"/>
    <n v="15"/>
    <n v="50"/>
  </r>
  <r>
    <n v="3491"/>
    <s v="William Fernandes"/>
    <x v="2"/>
    <d v="2024-11-12T00:00:00"/>
    <s v="No"/>
    <n v="10"/>
    <x v="0"/>
    <x v="1"/>
    <x v="1"/>
    <s v="Yes"/>
    <n v="20"/>
    <n v="5"/>
    <n v="25"/>
  </r>
  <r>
    <n v="3492"/>
    <s v="Xuxa Mendes"/>
    <x v="1"/>
    <d v="2024-11-13T00:00:00"/>
    <s v="Yes"/>
    <n v="5"/>
    <x v="1"/>
    <x v="1"/>
    <x v="1"/>
    <s v="No"/>
    <n v="0"/>
    <n v="0"/>
    <n v="5"/>
  </r>
  <r>
    <n v="3493"/>
    <s v="Ygor Farias"/>
    <x v="0"/>
    <d v="2024-11-14T00:00:00"/>
    <s v="No"/>
    <n v="15"/>
    <x v="2"/>
    <x v="0"/>
    <x v="0"/>
    <s v="Yes"/>
    <n v="20"/>
    <n v="20"/>
    <n v="45"/>
  </r>
  <r>
    <n v="3494"/>
    <s v="Zilda Barros"/>
    <x v="2"/>
    <d v="2024-11-15T00:00:00"/>
    <s v="Yes"/>
    <n v="10"/>
    <x v="2"/>
    <x v="1"/>
    <x v="1"/>
    <s v="Yes"/>
    <n v="20"/>
    <n v="12"/>
    <n v="18"/>
  </r>
  <r>
    <n v="3495"/>
    <s v="Amanda Santos"/>
    <x v="1"/>
    <d v="2024-11-16T00:00:00"/>
    <s v="No"/>
    <n v="5"/>
    <x v="0"/>
    <x v="1"/>
    <x v="1"/>
    <s v="No"/>
    <n v="0"/>
    <n v="2"/>
    <n v="3"/>
  </r>
  <r>
    <n v="3496"/>
    <s v="Bruno Costa"/>
    <x v="0"/>
    <d v="2024-11-17T00:00:00"/>
    <s v="Yes"/>
    <n v="15"/>
    <x v="1"/>
    <x v="0"/>
    <x v="0"/>
    <s v="Yes"/>
    <n v="20"/>
    <n v="5"/>
    <n v="60"/>
  </r>
  <r>
    <n v="3497"/>
    <s v="Carla Rodrigues"/>
    <x v="2"/>
    <d v="2024-11-18T00:00:00"/>
    <s v="No"/>
    <n v="10"/>
    <x v="0"/>
    <x v="1"/>
    <x v="1"/>
    <s v="Yes"/>
    <n v="20"/>
    <n v="10"/>
    <n v="20"/>
  </r>
  <r>
    <n v="3498"/>
    <s v="Diogo Pereira"/>
    <x v="1"/>
    <d v="2024-11-19T00:00:00"/>
    <s v="Yes"/>
    <n v="5"/>
    <x v="2"/>
    <x v="1"/>
    <x v="1"/>
    <s v="No"/>
    <n v="0"/>
    <n v="0"/>
    <n v="5"/>
  </r>
  <r>
    <n v="3499"/>
    <s v="Elisa Correia"/>
    <x v="0"/>
    <d v="2024-11-20T00:00:00"/>
    <s v="No"/>
    <n v="15"/>
    <x v="0"/>
    <x v="0"/>
    <x v="0"/>
    <s v="Yes"/>
    <n v="20"/>
    <n v="3"/>
    <n v="62"/>
  </r>
  <r>
    <n v="3500"/>
    <s v="Fábio Lourenço"/>
    <x v="2"/>
    <d v="2024-11-21T00:00:00"/>
    <s v="Yes"/>
    <n v="10"/>
    <x v="1"/>
    <x v="1"/>
    <x v="1"/>
    <s v="Yes"/>
    <n v="20"/>
    <n v="15"/>
    <n v="15"/>
  </r>
  <r>
    <n v="3501"/>
    <s v="Gabriela Neves"/>
    <x v="1"/>
    <d v="2024-11-22T00:00:00"/>
    <s v="No"/>
    <n v="5"/>
    <x v="0"/>
    <x v="1"/>
    <x v="1"/>
    <s v="No"/>
    <n v="0"/>
    <n v="1"/>
    <n v="4"/>
  </r>
  <r>
    <n v="3502"/>
    <s v="Henrique Gonçalves"/>
    <x v="0"/>
    <d v="2024-11-23T00:00:00"/>
    <s v="Yes"/>
    <n v="15"/>
    <x v="2"/>
    <x v="0"/>
    <x v="0"/>
    <s v="Yes"/>
    <n v="20"/>
    <n v="7"/>
    <n v="58"/>
  </r>
  <r>
    <n v="3503"/>
    <s v="Íris Santos"/>
    <x v="2"/>
    <d v="2024-11-24T00:00:00"/>
    <s v="No"/>
    <n v="10"/>
    <x v="0"/>
    <x v="1"/>
    <x v="1"/>
    <s v="Yes"/>
    <n v="20"/>
    <n v="10"/>
    <n v="20"/>
  </r>
  <r>
    <n v="3504"/>
    <s v="João Marcelo Alves"/>
    <x v="1"/>
    <d v="2024-11-25T00:00:00"/>
    <s v="Yes"/>
    <n v="5"/>
    <x v="1"/>
    <x v="1"/>
    <x v="1"/>
    <s v="No"/>
    <n v="0"/>
    <n v="0"/>
    <n v="5"/>
  </r>
  <r>
    <n v="3505"/>
    <s v="Klara Fonseca"/>
    <x v="0"/>
    <d v="2024-11-26T00:00:00"/>
    <s v="No"/>
    <n v="15"/>
    <x v="0"/>
    <x v="0"/>
    <x v="0"/>
    <s v="Yes"/>
    <n v="20"/>
    <n v="20"/>
    <n v="45"/>
  </r>
  <r>
    <n v="3506"/>
    <s v="Lucas Mendonça"/>
    <x v="2"/>
    <d v="2024-11-27T00:00:00"/>
    <s v="Yes"/>
    <n v="10"/>
    <x v="2"/>
    <x v="1"/>
    <x v="1"/>
    <s v="Yes"/>
    <n v="20"/>
    <n v="15"/>
    <n v="15"/>
  </r>
  <r>
    <n v="3507"/>
    <s v="Marcela Torres"/>
    <x v="1"/>
    <d v="2024-11-28T00:00:00"/>
    <s v="No"/>
    <n v="5"/>
    <x v="0"/>
    <x v="1"/>
    <x v="1"/>
    <s v="No"/>
    <n v="0"/>
    <n v="1"/>
    <n v="4"/>
  </r>
  <r>
    <n v="3508"/>
    <s v="Natália Castro"/>
    <x v="0"/>
    <d v="2024-11-29T00:00:00"/>
    <s v="Yes"/>
    <n v="15"/>
    <x v="1"/>
    <x v="0"/>
    <x v="0"/>
    <s v="Yes"/>
    <n v="20"/>
    <n v="3"/>
    <n v="62"/>
  </r>
  <r>
    <n v="3509"/>
    <s v="Oscar Martins"/>
    <x v="2"/>
    <d v="2024-11-30T00:00:00"/>
    <s v="No"/>
    <n v="10"/>
    <x v="0"/>
    <x v="1"/>
    <x v="1"/>
    <s v="Yes"/>
    <n v="20"/>
    <n v="10"/>
    <n v="20"/>
  </r>
  <r>
    <n v="3510"/>
    <s v="Patrícia Oliveira"/>
    <x v="1"/>
    <d v="2024-12-01T00:00:00"/>
    <s v="Yes"/>
    <n v="5"/>
    <x v="2"/>
    <x v="1"/>
    <x v="1"/>
    <s v="No"/>
    <n v="0"/>
    <n v="0"/>
    <n v="5"/>
  </r>
  <r>
    <n v="3511"/>
    <s v="Quentin Nogueira"/>
    <x v="0"/>
    <d v="2024-12-02T00:00:00"/>
    <s v="No"/>
    <n v="15"/>
    <x v="0"/>
    <x v="0"/>
    <x v="0"/>
    <s v="Yes"/>
    <n v="20"/>
    <n v="15"/>
    <n v="50"/>
  </r>
  <r>
    <n v="3512"/>
    <s v="Raquel Silva"/>
    <x v="2"/>
    <d v="2024-12-03T00:00:00"/>
    <s v="Yes"/>
    <n v="10"/>
    <x v="1"/>
    <x v="1"/>
    <x v="1"/>
    <s v="Yes"/>
    <n v="20"/>
    <n v="15"/>
    <n v="15"/>
  </r>
  <r>
    <n v="3513"/>
    <s v="Sandro Gomes"/>
    <x v="1"/>
    <d v="2024-12-04T00:00:00"/>
    <s v="No"/>
    <n v="5"/>
    <x v="0"/>
    <x v="1"/>
    <x v="1"/>
    <s v="No"/>
    <n v="0"/>
    <n v="1"/>
    <n v="4"/>
  </r>
  <r>
    <n v="3514"/>
    <s v="Tânia Machado"/>
    <x v="0"/>
    <d v="2024-12-05T00:00:00"/>
    <s v="Yes"/>
    <n v="15"/>
    <x v="2"/>
    <x v="0"/>
    <x v="0"/>
    <s v="Yes"/>
    <n v="20"/>
    <n v="7"/>
    <n v="58"/>
  </r>
  <r>
    <n v="3515"/>
    <s v="Ursula Silva"/>
    <x v="2"/>
    <d v="2024-12-06T00:00:00"/>
    <s v="No"/>
    <n v="10"/>
    <x v="0"/>
    <x v="1"/>
    <x v="1"/>
    <s v="Yes"/>
    <n v="20"/>
    <n v="10"/>
    <n v="20"/>
  </r>
  <r>
    <n v="3516"/>
    <s v="Vanessa Moraes"/>
    <x v="1"/>
    <d v="2024-12-07T00:00:00"/>
    <s v="Yes"/>
    <n v="5"/>
    <x v="1"/>
    <x v="1"/>
    <x v="1"/>
    <s v="No"/>
    <n v="0"/>
    <n v="0"/>
    <n v="5"/>
  </r>
  <r>
    <n v="3517"/>
    <s v="William Carvalho"/>
    <x v="0"/>
    <d v="2024-12-08T00:00:00"/>
    <s v="No"/>
    <n v="15"/>
    <x v="0"/>
    <x v="0"/>
    <x v="0"/>
    <s v="Yes"/>
    <n v="20"/>
    <n v="20"/>
    <n v="45"/>
  </r>
  <r>
    <n v="3518"/>
    <s v="Xavier Reis"/>
    <x v="2"/>
    <d v="2024-12-09T00:00:00"/>
    <s v="Yes"/>
    <n v="10"/>
    <x v="2"/>
    <x v="1"/>
    <x v="1"/>
    <s v="Yes"/>
    <n v="20"/>
    <n v="12"/>
    <n v="18"/>
  </r>
  <r>
    <n v="3519"/>
    <s v="Yasmin Rocha"/>
    <x v="1"/>
    <d v="2024-12-10T00:00:00"/>
    <s v="No"/>
    <n v="5"/>
    <x v="0"/>
    <x v="1"/>
    <x v="1"/>
    <s v="No"/>
    <n v="0"/>
    <n v="2"/>
    <n v="3"/>
  </r>
  <r>
    <n v="3520"/>
    <s v="Zacarias Duarte"/>
    <x v="0"/>
    <d v="2024-12-11T00:00:00"/>
    <s v="Yes"/>
    <n v="15"/>
    <x v="1"/>
    <x v="0"/>
    <x v="0"/>
    <s v="Yes"/>
    <n v="20"/>
    <n v="5"/>
    <n v="60"/>
  </r>
  <r>
    <n v="3521"/>
    <s v="Amanda Freitas"/>
    <x v="2"/>
    <d v="2024-12-12T00:00:00"/>
    <s v="No"/>
    <n v="10"/>
    <x v="0"/>
    <x v="1"/>
    <x v="1"/>
    <s v="Yes"/>
    <n v="20"/>
    <n v="10"/>
    <n v="20"/>
  </r>
  <r>
    <n v="3522"/>
    <s v="Bruno Almeida"/>
    <x v="1"/>
    <d v="2024-12-13T00:00:00"/>
    <s v="Yes"/>
    <n v="5"/>
    <x v="2"/>
    <x v="1"/>
    <x v="1"/>
    <s v="No"/>
    <n v="0"/>
    <n v="0"/>
    <n v="5"/>
  </r>
  <r>
    <n v="3523"/>
    <s v="Carla Siqueira"/>
    <x v="0"/>
    <d v="2024-12-14T00:00:00"/>
    <s v="No"/>
    <n v="15"/>
    <x v="0"/>
    <x v="0"/>
    <x v="0"/>
    <s v="Yes"/>
    <n v="20"/>
    <n v="3"/>
    <n v="62"/>
  </r>
  <r>
    <n v="3524"/>
    <s v="Diogo Ramos"/>
    <x v="2"/>
    <d v="2024-12-15T00:00:00"/>
    <s v="Yes"/>
    <n v="10"/>
    <x v="1"/>
    <x v="1"/>
    <x v="1"/>
    <s v="Yes"/>
    <n v="20"/>
    <n v="15"/>
    <n v="15"/>
  </r>
  <r>
    <n v="3525"/>
    <s v="Elisa Magalhães"/>
    <x v="1"/>
    <d v="2024-12-16T00:00:00"/>
    <s v="No"/>
    <n v="5"/>
    <x v="0"/>
    <x v="1"/>
    <x v="1"/>
    <s v="No"/>
    <n v="0"/>
    <n v="1"/>
    <n v="4"/>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r="http://schemas.openxmlformats.org/officeDocument/2006/relationships" name="Tabela dinâmica1" cacheId="0" applyNumberFormats="0" applyBorderFormats="0" applyFontFormats="0" applyPatternFormats="0" applyAlignmentFormats="0" applyWidthHeightFormats="1" dataCaption="Valores" updatedVersion="8" minRefreshableVersion="3" useAutoFormatting="1" itemPrintTitles="1" createdVersion="4" indent="0" compact="0" compactData="0" multipleFieldFilters="0" chartFormat="5">
  <location ref="AL397:AM399" firstHeaderRow="1" firstDataRow="1" firstDataCol="1"/>
  <pivotFields count="13">
    <pivotField compact="0" outline="0" showAll="0"/>
    <pivotField compact="0" outline="0" showAll="0"/>
    <pivotField compact="0" outline="0" showAll="0">
      <items count="4">
        <item x="1"/>
        <item x="2"/>
        <item x="0"/>
        <item t="default"/>
      </items>
    </pivotField>
    <pivotField compact="0" numFmtId="14" outline="0" showAll="0"/>
    <pivotField compact="0" outline="0" showAll="0"/>
    <pivotField compact="0" numFmtId="164" outline="0" showAll="0"/>
    <pivotField axis="axisRow" compact="0" outline="0" showAll="0">
      <items count="4">
        <item x="1"/>
        <item h="1" x="0"/>
        <item h="1" x="2"/>
        <item t="default"/>
      </items>
    </pivotField>
    <pivotField compact="0" outline="0" showAll="0">
      <items count="3">
        <item x="1"/>
        <item x="0"/>
        <item t="default"/>
      </items>
    </pivotField>
    <pivotField compact="0" outline="0" showAll="0">
      <items count="3">
        <item x="0"/>
        <item x="1"/>
        <item t="default"/>
      </items>
    </pivotField>
    <pivotField compact="0" outline="0" showAll="0"/>
    <pivotField compact="0" numFmtId="164" outline="0" showAll="0"/>
    <pivotField compact="0" numFmtId="164" outline="0" showAll="0"/>
    <pivotField dataField="1" compact="0" numFmtId="164" outline="0" showAll="0"/>
  </pivotFields>
  <rowFields count="1">
    <field x="6"/>
  </rowFields>
  <rowItems count="2">
    <i>
      <x/>
    </i>
    <i t="grand">
      <x/>
    </i>
  </rowItems>
  <colItems count="1">
    <i/>
  </colItems>
  <dataFields count="1">
    <dataField name="Soma de Total Value" fld="12" baseField="0" baseItem="0" numFmtId="164"/>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xmlns:r="http://schemas.openxmlformats.org/officeDocument/2006/relationships" name="tabela_eapass_sum" cacheId="0" applyNumberFormats="0" applyBorderFormats="0" applyFontFormats="0" applyPatternFormats="0" applyAlignmentFormats="0" applyWidthHeightFormats="1" dataCaption="Valores" updatedVersion="8" minRefreshableVersion="3" useAutoFormatting="1" itemPrintTitles="1" createdVersion="4" indent="0" compact="0" compactData="0" multipleFieldFilters="0">
  <location ref="AL408:AM412" firstHeaderRow="1" firstDataRow="1" firstDataCol="1" rowPageCount="1" colPageCount="1"/>
  <pivotFields count="13">
    <pivotField compact="0" outline="0" showAll="0"/>
    <pivotField compact="0" outline="0" showAll="0"/>
    <pivotField axis="axisRow" compact="0" outline="0" showAll="0">
      <items count="4">
        <item x="1"/>
        <item x="2"/>
        <item x="0"/>
        <item t="default"/>
      </items>
    </pivotField>
    <pivotField compact="0" numFmtId="14" outline="0" showAll="0"/>
    <pivotField compact="0" outline="0" showAll="0"/>
    <pivotField compact="0" numFmtId="164" outline="0" showAll="0"/>
    <pivotField axis="axisPage" compact="0" outline="0" multipleItemSelectionAllowed="1" showAll="0">
      <items count="4">
        <item h="1" x="1"/>
        <item h="1" x="0"/>
        <item x="2"/>
        <item t="default"/>
      </items>
    </pivotField>
    <pivotField compact="0" outline="0" showAll="0">
      <items count="3">
        <item x="1"/>
        <item x="0"/>
        <item t="default"/>
      </items>
    </pivotField>
    <pivotField dataField="1" compact="0" outline="0" showAll="0">
      <items count="3">
        <item x="0"/>
        <item x="1"/>
        <item t="default"/>
      </items>
    </pivotField>
    <pivotField compact="0" outline="0" showAll="0"/>
    <pivotField compact="0" numFmtId="164" outline="0" showAll="0"/>
    <pivotField compact="0" numFmtId="164" outline="0" showAll="0"/>
    <pivotField compact="0" numFmtId="164" outline="0" showAll="0"/>
  </pivotFields>
  <rowFields count="1">
    <field x="2"/>
  </rowFields>
  <rowItems count="4">
    <i>
      <x/>
    </i>
    <i>
      <x v="1"/>
    </i>
    <i>
      <x v="2"/>
    </i>
    <i t="grand">
      <x/>
    </i>
  </rowItems>
  <colItems count="1">
    <i/>
  </colItems>
  <pageFields count="1">
    <pageField fld="6" hier="-1"/>
  </pageFields>
  <dataFields count="1">
    <dataField name="Soma de EA Play Season Pass Price"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xmlns:r="http://schemas.openxmlformats.org/officeDocument/2006/relationships" name="Tabela dinâmica2" cacheId="0" applyNumberFormats="0" applyBorderFormats="0" applyFontFormats="0" applyPatternFormats="0" applyAlignmentFormats="0" applyWidthHeightFormats="1" dataCaption="Valores" updatedVersion="8" minRefreshableVersion="3" useAutoFormatting="1" itemPrintTitles="1" createdVersion="4" indent="0" compact="0" compactData="0" multipleFieldFilters="0" chartFormat="5">
  <location ref="AL421:AM425" firstHeaderRow="1" firstDataRow="1" firstDataCol="1" rowPageCount="1" colPageCount="1"/>
  <pivotFields count="13">
    <pivotField compact="0" outline="0" showAll="0"/>
    <pivotField compact="0" outline="0" showAll="0"/>
    <pivotField axis="axisRow" compact="0" outline="0" showAll="0">
      <items count="4">
        <item x="1"/>
        <item x="2"/>
        <item x="0"/>
        <item t="default"/>
      </items>
    </pivotField>
    <pivotField compact="0" numFmtId="14" outline="0" showAll="0"/>
    <pivotField compact="0" outline="0" showAll="0"/>
    <pivotField compact="0" numFmtId="164" outline="0" showAll="0"/>
    <pivotField axis="axisPage" compact="0" outline="0" showAll="0">
      <items count="4">
        <item x="1"/>
        <item x="0"/>
        <item x="2"/>
        <item t="default"/>
      </items>
    </pivotField>
    <pivotField compact="0" outline="0" showAll="0">
      <items count="3">
        <item x="1"/>
        <item x="0"/>
        <item t="default"/>
      </items>
    </pivotField>
    <pivotField compact="0" outline="0" showAll="0">
      <items count="3">
        <item x="0"/>
        <item x="1"/>
        <item t="default"/>
      </items>
    </pivotField>
    <pivotField compact="0" outline="0" showAll="0"/>
    <pivotField dataField="1" compact="0" numFmtId="164" outline="0" showAll="0"/>
    <pivotField compact="0" numFmtId="164" outline="0" showAll="0"/>
    <pivotField compact="0" numFmtId="164" outline="0" showAll="0"/>
  </pivotFields>
  <rowFields count="1">
    <field x="2"/>
  </rowFields>
  <rowItems count="4">
    <i>
      <x/>
    </i>
    <i>
      <x v="1"/>
    </i>
    <i>
      <x v="2"/>
    </i>
    <i t="grand">
      <x/>
    </i>
  </rowItems>
  <colItems count="1">
    <i/>
  </colItems>
  <pageFields count="1">
    <pageField fld="6" item="1" hier="-1"/>
  </pageFields>
  <dataFields count="1">
    <dataField name="Soma de Minecraft Season Pass Pric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 de Dados_Subscription_Type1" xr10:uid="{E7080817-8741-E505-5B3A-E9AAADB3524D}" sourceName="Subscription Type">
  <pivotTables>
    <pivotTable tabId="3" name="tabela_eapass_sum"/>
  </pivotTables>
  <data>
    <tabular pivotCacheId="1495997943" sortOrder="ascending" customListSort="1" showMissing="1" crossFilter="showItemsWithDataAtTop">
      <items count="3">
        <i x="2" s="1" nd="0"/>
        <i x="1" s="0" nd="1"/>
        <i x="0" s="0"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 de Dados_Subscription_Type2" xr10:uid="{81424379-53AF-7A02-5DE7-B85D0D261574}" sourceName="Subscription Type">
  <pivotTables>
    <pivotTable tabId="3" name="Tabela dinâmica2"/>
  </pivotTables>
  <data>
    <tabular pivotCacheId="1495997943" sortOrder="ascending" customListSort="1" showMissing="1" crossFilter="showItemsWithDataAtTop">
      <items count="3">
        <i x="0" s="1" nd="0"/>
        <i x="1" s="0" nd="1"/>
        <i x="2" s="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scription Type 1" xr10:uid="{749E6F12-E92E-7361-3C09-5A6328BB1BE7}" cache="Segmentação de Dados_Subscription_Type1" caption="EA PASS" startItem="0" columnCount="1" showCaption="1" level="0" style="SlicerStyleDark6" lockedPosition="1" rowHeight="241300"/>
  <slicer name="Subscription Type 2" xr10:uid="{BAF87412-FDB2-4040-C6CB-3D5CE8EA6556}" cache="Segmentação de Dados_Subscription_Type2" caption="MINECRAFT PASS" startItem="0" columnCount="1" showCaption="1" level="0" style="SlicerStyleDark6"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a1" ref="A1:M296">
  <autoFilter ref="A1:M296"/>
  <tableColumns count="13">
    <tableColumn id="1" name="Subscriber ID" dataDxfId="0"/>
    <tableColumn id="2" name="Name" dataDxfId="1"/>
    <tableColumn id="3" name="Plan" dataDxfId="2"/>
    <tableColumn id="4" name="Start Date" dataDxfId="3"/>
    <tableColumn id="5" name="Auto Renewal" dataDxfId="4"/>
    <tableColumn id="6" name="Subscription Price" dataDxfId="5"/>
    <tableColumn id="7" name="Subscription Type" dataDxfId="6"/>
    <tableColumn id="8" name="EA Play Season Pass" dataDxfId="7"/>
    <tableColumn id="9" name="EA Play Season Pass_x000a_Price" dataDxfId="8"/>
    <tableColumn id="10" name="Minecraft Season Pass" dataDxfId="9"/>
    <tableColumn id="11" name="Minecraft Season Pass Price" dataDxfId="10"/>
    <tableColumn id="12" name="Coupon Value" dataDxfId="11"/>
    <tableColumn id="13" name="Total Value" dataDxfId="12"/>
  </tableColumns>
  <tableStyleInfo name="TableStyleLight11"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1.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microsoft.com/office/2007/relationships/slicer" Target="../slicers/slicer1.xml"/><Relationship  Id="rId3" Type="http://schemas.openxmlformats.org/officeDocument/2006/relationships/pivotTable" Target="../pivotTables/pivotTable1.xml"/><Relationship  Id="rId4" Type="http://schemas.openxmlformats.org/officeDocument/2006/relationships/pivotTable" Target="../pivotTables/pivotTable2.xml"/><Relationship  Id="rId5"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showGridLines="0" zoomScale="100" workbookViewId="0">
      <selection activeCell="B6" activeCellId="0" sqref="B6"/>
    </sheetView>
  </sheetViews>
  <sheetFormatPr defaultRowHeight="15"/>
  <cols>
    <col customWidth="1" min="9" max="9" width="3.5703125"/>
  </cols>
  <sheetData>
    <row r="3" ht="19.5">
      <c r="B3" s="1" t="s">
        <v>0</v>
      </c>
      <c r="C3" s="1"/>
      <c r="D3" s="1"/>
      <c r="E3" s="1"/>
      <c r="F3" s="1"/>
      <c r="G3" s="1"/>
      <c r="H3" s="1"/>
    </row>
    <row r="5">
      <c r="B5" s="2" t="s">
        <v>1</v>
      </c>
      <c r="C5" t="s">
        <v>2</v>
      </c>
      <c r="E5" s="3" t="s">
        <v>3</v>
      </c>
      <c r="F5" t="s">
        <v>4</v>
      </c>
    </row>
    <row r="6">
      <c r="B6" s="4" t="s">
        <v>5</v>
      </c>
      <c r="C6" t="s">
        <v>2</v>
      </c>
    </row>
    <row r="7">
      <c r="B7" s="5" t="s">
        <v>6</v>
      </c>
      <c r="C7" t="s">
        <v>7</v>
      </c>
    </row>
    <row r="8">
      <c r="B8" s="6" t="s">
        <v>8</v>
      </c>
      <c r="C8" t="s">
        <v>7</v>
      </c>
    </row>
    <row r="12" ht="19.5">
      <c r="B12" s="1" t="s">
        <v>9</v>
      </c>
      <c r="C12" s="1"/>
      <c r="D12" s="1"/>
      <c r="E12" s="1"/>
      <c r="F12" s="1"/>
      <c r="G12" s="1"/>
      <c r="H12" s="1"/>
      <c r="J12" s="1" t="s">
        <v>10</v>
      </c>
      <c r="K12" s="1"/>
      <c r="L12" s="1"/>
      <c r="M12" s="1"/>
      <c r="N12" s="1"/>
      <c r="O12" s="1"/>
      <c r="P12" s="1"/>
    </row>
    <row r="13">
      <c r="B13" s="7"/>
      <c r="C13" s="7"/>
      <c r="D13" s="7"/>
      <c r="E13" s="7"/>
      <c r="F13" s="7"/>
      <c r="G13" s="7"/>
      <c r="H13" s="7"/>
    </row>
    <row r="14">
      <c r="B14" s="7"/>
      <c r="C14" s="7"/>
      <c r="D14" s="7"/>
      <c r="E14" s="7"/>
      <c r="F14" s="7"/>
      <c r="G14" s="7"/>
      <c r="H14" s="7"/>
    </row>
    <row r="15">
      <c r="B15" s="7"/>
      <c r="C15" s="7"/>
      <c r="D15" s="7"/>
      <c r="E15" s="7"/>
      <c r="F15" s="7"/>
      <c r="G15" s="7"/>
      <c r="H15" s="7"/>
    </row>
    <row r="16">
      <c r="B16" s="7"/>
      <c r="C16" s="7"/>
      <c r="D16" s="7"/>
      <c r="E16" s="7"/>
      <c r="F16" s="7"/>
      <c r="G16" s="7"/>
      <c r="H16" s="7"/>
    </row>
    <row r="17">
      <c r="B17" s="7"/>
      <c r="C17" s="7"/>
      <c r="D17" s="7"/>
      <c r="E17" s="7"/>
      <c r="F17" s="7"/>
      <c r="G17" s="7"/>
      <c r="H17" s="7"/>
    </row>
    <row r="18">
      <c r="B18" s="7"/>
      <c r="C18" s="7"/>
      <c r="D18" s="7"/>
      <c r="E18" s="7"/>
      <c r="F18" s="7"/>
      <c r="G18" s="7"/>
      <c r="H18" s="7"/>
    </row>
    <row r="19">
      <c r="B19" s="7"/>
      <c r="C19" s="7"/>
      <c r="D19" s="7"/>
      <c r="E19" s="7"/>
      <c r="F19" s="7"/>
      <c r="G19" s="7"/>
      <c r="H19" s="7"/>
    </row>
    <row r="20">
      <c r="B20" s="7"/>
      <c r="C20" s="7"/>
      <c r="D20" s="7"/>
      <c r="E20" s="7"/>
      <c r="F20" s="7"/>
      <c r="G20" s="7"/>
      <c r="H20" s="7"/>
    </row>
    <row r="21">
      <c r="B21" s="7"/>
      <c r="C21" s="7"/>
      <c r="D21" s="7"/>
      <c r="E21" s="7"/>
      <c r="F21" s="7"/>
      <c r="G21" s="7"/>
      <c r="H21" s="7"/>
    </row>
  </sheetData>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topLeftCell="I2" zoomScale="90" workbookViewId="0">
      <selection activeCell="I2" activeCellId="0" sqref="I2"/>
    </sheetView>
  </sheetViews>
  <sheetFormatPr defaultRowHeight="15"/>
  <cols>
    <col bestFit="1" customWidth="1" min="1" max="1" width="17.85546875"/>
    <col bestFit="1" customWidth="1" min="2" max="2" width="18.85546875"/>
    <col bestFit="1" customWidth="1" min="3" max="3" width="9.42578125"/>
    <col bestFit="1" customWidth="1" min="4" max="4" width="14.5703125"/>
    <col bestFit="1" customWidth="1" min="5" max="5" width="18"/>
    <col bestFit="1" customWidth="1" min="6" max="6" width="14.7109375"/>
    <col bestFit="1" customWidth="1" min="7" max="7" width="22"/>
    <col bestFit="1" customWidth="1" min="8" max="8" width="20.5703125"/>
    <col customWidth="1" min="9" max="9" width="20.5703125"/>
    <col bestFit="1" customWidth="1" min="10" max="10" width="16.7109375"/>
    <col bestFit="1" customWidth="1" min="11" max="11" width="21.28515625"/>
    <col bestFit="1" customWidth="1" min="12" max="12" width="12.7109375"/>
    <col bestFit="1" customWidth="1" min="13" max="13" width="10.5703125"/>
  </cols>
  <sheetData>
    <row r="1" ht="30">
      <c r="A1" s="8" t="s">
        <v>11</v>
      </c>
      <c r="B1" s="8" t="s">
        <v>12</v>
      </c>
      <c r="C1" s="8" t="s">
        <v>13</v>
      </c>
      <c r="D1" s="8" t="s">
        <v>14</v>
      </c>
      <c r="E1" s="8" t="s">
        <v>15</v>
      </c>
      <c r="F1" s="8" t="s">
        <v>16</v>
      </c>
      <c r="G1" s="8" t="s">
        <v>17</v>
      </c>
      <c r="H1" s="8" t="s">
        <v>18</v>
      </c>
      <c r="I1" s="8" t="s">
        <v>19</v>
      </c>
      <c r="J1" s="8" t="s">
        <v>20</v>
      </c>
      <c r="K1" s="8" t="s">
        <v>21</v>
      </c>
      <c r="L1" s="8" t="s">
        <v>22</v>
      </c>
      <c r="M1" s="8" t="s">
        <v>23</v>
      </c>
    </row>
    <row r="2" ht="16.5" customHeight="1">
      <c r="A2" s="9">
        <v>3231</v>
      </c>
      <c r="B2" s="9" t="s">
        <v>24</v>
      </c>
      <c r="C2" s="9" t="s">
        <v>25</v>
      </c>
      <c r="D2" s="10">
        <v>45292</v>
      </c>
      <c r="E2" s="9" t="s">
        <v>26</v>
      </c>
      <c r="F2" s="11">
        <v>15</v>
      </c>
      <c r="G2" s="9" t="s">
        <v>27</v>
      </c>
      <c r="H2" s="9" t="s">
        <v>26</v>
      </c>
      <c r="I2" s="11">
        <v>30</v>
      </c>
      <c r="J2" s="9" t="s">
        <v>26</v>
      </c>
      <c r="K2" s="11">
        <v>20</v>
      </c>
      <c r="L2" s="11">
        <v>5</v>
      </c>
      <c r="M2" s="11">
        <v>60</v>
      </c>
    </row>
    <row r="3" ht="16.5" customHeight="1">
      <c r="A3" s="9">
        <v>3232</v>
      </c>
      <c r="B3" s="9" t="s">
        <v>28</v>
      </c>
      <c r="C3" s="9" t="s">
        <v>29</v>
      </c>
      <c r="D3" s="10">
        <v>45306</v>
      </c>
      <c r="E3" s="9" t="s">
        <v>30</v>
      </c>
      <c r="F3" s="11">
        <v>5</v>
      </c>
      <c r="G3" s="9" t="s">
        <v>31</v>
      </c>
      <c r="H3" s="9" t="s">
        <v>30</v>
      </c>
      <c r="I3" s="11" t="s">
        <v>32</v>
      </c>
      <c r="J3" s="9" t="s">
        <v>30</v>
      </c>
      <c r="K3" s="11">
        <v>0</v>
      </c>
      <c r="L3" s="11">
        <v>0</v>
      </c>
      <c r="M3" s="11">
        <v>5</v>
      </c>
    </row>
    <row r="4" ht="16.5" customHeight="1">
      <c r="A4" s="9">
        <v>3233</v>
      </c>
      <c r="B4" s="9" t="s">
        <v>33</v>
      </c>
      <c r="C4" s="9" t="s">
        <v>34</v>
      </c>
      <c r="D4" s="10">
        <v>45332</v>
      </c>
      <c r="E4" s="9" t="s">
        <v>26</v>
      </c>
      <c r="F4" s="11">
        <v>10</v>
      </c>
      <c r="G4" s="9" t="s">
        <v>35</v>
      </c>
      <c r="H4" s="9" t="s">
        <v>30</v>
      </c>
      <c r="I4" s="11" t="s">
        <v>32</v>
      </c>
      <c r="J4" s="9" t="s">
        <v>26</v>
      </c>
      <c r="K4" s="11">
        <v>20</v>
      </c>
      <c r="L4" s="11">
        <v>10</v>
      </c>
      <c r="M4" s="11">
        <v>20</v>
      </c>
    </row>
    <row r="5" ht="16.5" customHeight="1">
      <c r="A5" s="9">
        <v>3234</v>
      </c>
      <c r="B5" s="9" t="s">
        <v>36</v>
      </c>
      <c r="C5" s="9" t="s">
        <v>25</v>
      </c>
      <c r="D5" s="10">
        <v>45342</v>
      </c>
      <c r="E5" s="9" t="s">
        <v>30</v>
      </c>
      <c r="F5" s="11">
        <v>15</v>
      </c>
      <c r="G5" s="9" t="s">
        <v>27</v>
      </c>
      <c r="H5" s="9" t="s">
        <v>26</v>
      </c>
      <c r="I5" s="11">
        <v>30</v>
      </c>
      <c r="J5" s="9" t="s">
        <v>26</v>
      </c>
      <c r="K5" s="11">
        <v>20</v>
      </c>
      <c r="L5" s="11">
        <v>3</v>
      </c>
      <c r="M5" s="11">
        <v>62</v>
      </c>
    </row>
    <row r="6" ht="16.5" customHeight="1">
      <c r="A6" s="9">
        <v>3235</v>
      </c>
      <c r="B6" s="9" t="s">
        <v>37</v>
      </c>
      <c r="C6" s="9" t="s">
        <v>29</v>
      </c>
      <c r="D6" s="10">
        <v>45356</v>
      </c>
      <c r="E6" s="9" t="s">
        <v>26</v>
      </c>
      <c r="F6" s="11">
        <v>5</v>
      </c>
      <c r="G6" s="9" t="s">
        <v>27</v>
      </c>
      <c r="H6" s="9" t="s">
        <v>30</v>
      </c>
      <c r="I6" s="11" t="s">
        <v>32</v>
      </c>
      <c r="J6" s="9" t="s">
        <v>30</v>
      </c>
      <c r="K6" s="11">
        <v>0</v>
      </c>
      <c r="L6" s="11">
        <v>1</v>
      </c>
      <c r="M6" s="11">
        <v>4</v>
      </c>
    </row>
    <row r="7" ht="16.5" customHeight="1">
      <c r="A7" s="9">
        <v>3236</v>
      </c>
      <c r="B7" s="9" t="s">
        <v>38</v>
      </c>
      <c r="C7" s="9" t="s">
        <v>34</v>
      </c>
      <c r="D7" s="10">
        <v>45353</v>
      </c>
      <c r="E7" s="9" t="s">
        <v>30</v>
      </c>
      <c r="F7" s="11">
        <v>10</v>
      </c>
      <c r="G7" s="9" t="s">
        <v>27</v>
      </c>
      <c r="H7" s="9" t="s">
        <v>30</v>
      </c>
      <c r="I7" s="11" t="s">
        <v>32</v>
      </c>
      <c r="J7" s="9" t="s">
        <v>26</v>
      </c>
      <c r="K7" s="11">
        <v>20</v>
      </c>
      <c r="L7" s="11">
        <v>2</v>
      </c>
      <c r="M7" s="11">
        <v>28</v>
      </c>
    </row>
    <row r="8" ht="16.5" customHeight="1">
      <c r="A8" s="9">
        <v>3237</v>
      </c>
      <c r="B8" s="9" t="s">
        <v>39</v>
      </c>
      <c r="C8" s="9" t="s">
        <v>25</v>
      </c>
      <c r="D8" s="10">
        <v>45354</v>
      </c>
      <c r="E8" s="9" t="s">
        <v>26</v>
      </c>
      <c r="F8" s="11">
        <v>15</v>
      </c>
      <c r="G8" s="9" t="s">
        <v>35</v>
      </c>
      <c r="H8" s="9" t="s">
        <v>26</v>
      </c>
      <c r="I8" s="11">
        <v>30</v>
      </c>
      <c r="J8" s="9" t="s">
        <v>26</v>
      </c>
      <c r="K8" s="11">
        <v>20</v>
      </c>
      <c r="L8" s="11">
        <v>10</v>
      </c>
      <c r="M8" s="11">
        <v>55</v>
      </c>
    </row>
    <row r="9" ht="16.5" customHeight="1">
      <c r="A9" s="9">
        <v>3238</v>
      </c>
      <c r="B9" s="9" t="s">
        <v>40</v>
      </c>
      <c r="C9" s="9" t="s">
        <v>29</v>
      </c>
      <c r="D9" s="10">
        <v>45355</v>
      </c>
      <c r="E9" s="9" t="s">
        <v>26</v>
      </c>
      <c r="F9" s="11">
        <v>5</v>
      </c>
      <c r="G9" s="9" t="s">
        <v>31</v>
      </c>
      <c r="H9" s="9" t="s">
        <v>30</v>
      </c>
      <c r="I9" s="11" t="s">
        <v>32</v>
      </c>
      <c r="J9" s="9" t="s">
        <v>30</v>
      </c>
      <c r="K9" s="11">
        <v>0</v>
      </c>
      <c r="L9" s="11">
        <v>0</v>
      </c>
      <c r="M9" s="11">
        <v>5</v>
      </c>
    </row>
    <row r="10" ht="16.5" customHeight="1">
      <c r="A10" s="9">
        <v>3239</v>
      </c>
      <c r="B10" s="9" t="s">
        <v>41</v>
      </c>
      <c r="C10" s="9" t="s">
        <v>25</v>
      </c>
      <c r="D10" s="10">
        <v>45356</v>
      </c>
      <c r="E10" s="9" t="s">
        <v>30</v>
      </c>
      <c r="F10" s="11">
        <v>15</v>
      </c>
      <c r="G10" s="9" t="s">
        <v>27</v>
      </c>
      <c r="H10" s="9" t="s">
        <v>26</v>
      </c>
      <c r="I10" s="11">
        <v>30</v>
      </c>
      <c r="J10" s="9" t="s">
        <v>26</v>
      </c>
      <c r="K10" s="11">
        <v>20</v>
      </c>
      <c r="L10" s="11">
        <v>5</v>
      </c>
      <c r="M10" s="11">
        <v>60</v>
      </c>
    </row>
    <row r="11" ht="16.5" customHeight="1">
      <c r="A11" s="9">
        <v>3240</v>
      </c>
      <c r="B11" s="9" t="s">
        <v>42</v>
      </c>
      <c r="C11" s="9" t="s">
        <v>34</v>
      </c>
      <c r="D11" s="10">
        <v>45357</v>
      </c>
      <c r="E11" s="9" t="s">
        <v>26</v>
      </c>
      <c r="F11" s="11">
        <v>10</v>
      </c>
      <c r="G11" s="9" t="s">
        <v>35</v>
      </c>
      <c r="H11" s="9" t="s">
        <v>30</v>
      </c>
      <c r="I11" s="11" t="s">
        <v>32</v>
      </c>
      <c r="J11" s="9" t="s">
        <v>26</v>
      </c>
      <c r="K11" s="11">
        <v>20</v>
      </c>
      <c r="L11" s="11">
        <v>15</v>
      </c>
      <c r="M11" s="11">
        <v>15</v>
      </c>
    </row>
    <row r="12" ht="16.5" customHeight="1">
      <c r="A12" s="9">
        <v>3241</v>
      </c>
      <c r="B12" s="9" t="s">
        <v>43</v>
      </c>
      <c r="C12" s="9" t="s">
        <v>29</v>
      </c>
      <c r="D12" s="10">
        <v>45358</v>
      </c>
      <c r="E12" s="9" t="s">
        <v>30</v>
      </c>
      <c r="F12" s="11">
        <v>5</v>
      </c>
      <c r="G12" s="9" t="s">
        <v>27</v>
      </c>
      <c r="H12" s="9" t="s">
        <v>30</v>
      </c>
      <c r="I12" s="11" t="s">
        <v>32</v>
      </c>
      <c r="J12" s="9" t="s">
        <v>30</v>
      </c>
      <c r="K12" s="11">
        <v>0</v>
      </c>
      <c r="L12" s="11">
        <v>1</v>
      </c>
      <c r="M12" s="11">
        <v>4</v>
      </c>
    </row>
    <row r="13" ht="16.5" customHeight="1">
      <c r="A13" s="9">
        <v>3242</v>
      </c>
      <c r="B13" s="9" t="s">
        <v>44</v>
      </c>
      <c r="C13" s="9" t="s">
        <v>25</v>
      </c>
      <c r="D13" s="10">
        <v>45359</v>
      </c>
      <c r="E13" s="9" t="s">
        <v>26</v>
      </c>
      <c r="F13" s="11">
        <v>15</v>
      </c>
      <c r="G13" s="9" t="s">
        <v>31</v>
      </c>
      <c r="H13" s="9" t="s">
        <v>26</v>
      </c>
      <c r="I13" s="11">
        <v>30</v>
      </c>
      <c r="J13" s="9" t="s">
        <v>26</v>
      </c>
      <c r="K13" s="11">
        <v>20</v>
      </c>
      <c r="L13" s="11">
        <v>20</v>
      </c>
      <c r="M13" s="11">
        <v>45</v>
      </c>
    </row>
    <row r="14" ht="16.5" customHeight="1">
      <c r="A14" s="9">
        <v>3243</v>
      </c>
      <c r="B14" s="9" t="s">
        <v>45</v>
      </c>
      <c r="C14" s="9" t="s">
        <v>34</v>
      </c>
      <c r="D14" s="10">
        <v>45360</v>
      </c>
      <c r="E14" s="9" t="s">
        <v>30</v>
      </c>
      <c r="F14" s="11">
        <v>10</v>
      </c>
      <c r="G14" s="9" t="s">
        <v>27</v>
      </c>
      <c r="H14" s="9" t="s">
        <v>30</v>
      </c>
      <c r="I14" s="11" t="s">
        <v>32</v>
      </c>
      <c r="J14" s="9" t="s">
        <v>26</v>
      </c>
      <c r="K14" s="11">
        <v>20</v>
      </c>
      <c r="L14" s="11">
        <v>10</v>
      </c>
      <c r="M14" s="11">
        <v>20</v>
      </c>
    </row>
    <row r="15" ht="16.5" customHeight="1">
      <c r="A15" s="9">
        <v>3244</v>
      </c>
      <c r="B15" s="9" t="s">
        <v>46</v>
      </c>
      <c r="C15" s="9" t="s">
        <v>29</v>
      </c>
      <c r="D15" s="10">
        <v>45361</v>
      </c>
      <c r="E15" s="9" t="s">
        <v>26</v>
      </c>
      <c r="F15" s="11">
        <v>5</v>
      </c>
      <c r="G15" s="9" t="s">
        <v>35</v>
      </c>
      <c r="H15" s="9" t="s">
        <v>30</v>
      </c>
      <c r="I15" s="11" t="s">
        <v>32</v>
      </c>
      <c r="J15" s="9" t="s">
        <v>30</v>
      </c>
      <c r="K15" s="11">
        <v>0</v>
      </c>
      <c r="L15" s="11">
        <v>0</v>
      </c>
      <c r="M15" s="11">
        <v>5</v>
      </c>
    </row>
    <row r="16" ht="16.5" customHeight="1">
      <c r="A16" s="9">
        <v>3245</v>
      </c>
      <c r="B16" s="9" t="s">
        <v>47</v>
      </c>
      <c r="C16" s="9" t="s">
        <v>25</v>
      </c>
      <c r="D16" s="10">
        <v>45362</v>
      </c>
      <c r="E16" s="9" t="s">
        <v>30</v>
      </c>
      <c r="F16" s="11">
        <v>15</v>
      </c>
      <c r="G16" s="9" t="s">
        <v>27</v>
      </c>
      <c r="H16" s="9" t="s">
        <v>26</v>
      </c>
      <c r="I16" s="11">
        <v>30</v>
      </c>
      <c r="J16" s="9" t="s">
        <v>26</v>
      </c>
      <c r="K16" s="11">
        <v>20</v>
      </c>
      <c r="L16" s="11">
        <v>8</v>
      </c>
      <c r="M16" s="11">
        <v>57</v>
      </c>
    </row>
    <row r="17" ht="16.5" customHeight="1">
      <c r="A17" s="9">
        <v>3246</v>
      </c>
      <c r="B17" s="9" t="s">
        <v>48</v>
      </c>
      <c r="C17" s="9" t="s">
        <v>34</v>
      </c>
      <c r="D17" s="10">
        <v>45363</v>
      </c>
      <c r="E17" s="9" t="s">
        <v>26</v>
      </c>
      <c r="F17" s="11">
        <v>10</v>
      </c>
      <c r="G17" s="9" t="s">
        <v>31</v>
      </c>
      <c r="H17" s="9" t="s">
        <v>30</v>
      </c>
      <c r="I17" s="11" t="s">
        <v>32</v>
      </c>
      <c r="J17" s="9" t="s">
        <v>26</v>
      </c>
      <c r="K17" s="11">
        <v>20</v>
      </c>
      <c r="L17" s="11">
        <v>12</v>
      </c>
      <c r="M17" s="11">
        <v>18</v>
      </c>
    </row>
    <row r="18" ht="16.5" customHeight="1">
      <c r="A18" s="9">
        <v>3247</v>
      </c>
      <c r="B18" s="9" t="s">
        <v>49</v>
      </c>
      <c r="C18" s="9" t="s">
        <v>29</v>
      </c>
      <c r="D18" s="10">
        <v>45364</v>
      </c>
      <c r="E18" s="9" t="s">
        <v>30</v>
      </c>
      <c r="F18" s="11">
        <v>5</v>
      </c>
      <c r="G18" s="9" t="s">
        <v>27</v>
      </c>
      <c r="H18" s="9" t="s">
        <v>30</v>
      </c>
      <c r="I18" s="11" t="s">
        <v>32</v>
      </c>
      <c r="J18" s="9" t="s">
        <v>30</v>
      </c>
      <c r="K18" s="11">
        <v>0</v>
      </c>
      <c r="L18" s="11">
        <v>2</v>
      </c>
      <c r="M18" s="11">
        <v>3</v>
      </c>
    </row>
    <row r="19" ht="16.5" customHeight="1">
      <c r="A19" s="9">
        <v>3248</v>
      </c>
      <c r="B19" s="9" t="s">
        <v>50</v>
      </c>
      <c r="C19" s="9" t="s">
        <v>25</v>
      </c>
      <c r="D19" s="10">
        <v>45365</v>
      </c>
      <c r="E19" s="9" t="s">
        <v>26</v>
      </c>
      <c r="F19" s="11">
        <v>15</v>
      </c>
      <c r="G19" s="9" t="s">
        <v>35</v>
      </c>
      <c r="H19" s="9" t="s">
        <v>26</v>
      </c>
      <c r="I19" s="11">
        <v>30</v>
      </c>
      <c r="J19" s="9" t="s">
        <v>26</v>
      </c>
      <c r="K19" s="11">
        <v>20</v>
      </c>
      <c r="L19" s="11">
        <v>7</v>
      </c>
      <c r="M19" s="11">
        <v>58</v>
      </c>
    </row>
    <row r="20" ht="16.5" customHeight="1">
      <c r="A20" s="9">
        <v>3249</v>
      </c>
      <c r="B20" s="9" t="s">
        <v>51</v>
      </c>
      <c r="C20" s="9" t="s">
        <v>34</v>
      </c>
      <c r="D20" s="10">
        <v>45366</v>
      </c>
      <c r="E20" s="9" t="s">
        <v>30</v>
      </c>
      <c r="F20" s="11">
        <v>10</v>
      </c>
      <c r="G20" s="9" t="s">
        <v>27</v>
      </c>
      <c r="H20" s="9" t="s">
        <v>30</v>
      </c>
      <c r="I20" s="11" t="s">
        <v>32</v>
      </c>
      <c r="J20" s="9" t="s">
        <v>26</v>
      </c>
      <c r="K20" s="11">
        <v>20</v>
      </c>
      <c r="L20" s="11">
        <v>5</v>
      </c>
      <c r="M20" s="11">
        <v>25</v>
      </c>
    </row>
    <row r="21" ht="16.5" customHeight="1">
      <c r="A21" s="9">
        <v>3250</v>
      </c>
      <c r="B21" s="9" t="s">
        <v>52</v>
      </c>
      <c r="C21" s="9" t="s">
        <v>29</v>
      </c>
      <c r="D21" s="10">
        <v>45367</v>
      </c>
      <c r="E21" s="9" t="s">
        <v>26</v>
      </c>
      <c r="F21" s="11">
        <v>5</v>
      </c>
      <c r="G21" s="9" t="s">
        <v>31</v>
      </c>
      <c r="H21" s="9" t="s">
        <v>30</v>
      </c>
      <c r="I21" s="11" t="s">
        <v>32</v>
      </c>
      <c r="J21" s="9" t="s">
        <v>30</v>
      </c>
      <c r="K21" s="11">
        <v>0</v>
      </c>
      <c r="L21" s="11">
        <v>0</v>
      </c>
      <c r="M21" s="11">
        <v>5</v>
      </c>
    </row>
    <row r="22" ht="16.5" customHeight="1">
      <c r="A22" s="9">
        <v>3251</v>
      </c>
      <c r="B22" s="9" t="s">
        <v>53</v>
      </c>
      <c r="C22" s="9" t="s">
        <v>25</v>
      </c>
      <c r="D22" s="10">
        <v>45368</v>
      </c>
      <c r="E22" s="9" t="s">
        <v>30</v>
      </c>
      <c r="F22" s="11">
        <v>15</v>
      </c>
      <c r="G22" s="9" t="s">
        <v>27</v>
      </c>
      <c r="H22" s="9" t="s">
        <v>26</v>
      </c>
      <c r="I22" s="11">
        <v>30</v>
      </c>
      <c r="J22" s="9" t="s">
        <v>26</v>
      </c>
      <c r="K22" s="11">
        <v>20</v>
      </c>
      <c r="L22" s="11">
        <v>3</v>
      </c>
      <c r="M22" s="11">
        <v>62</v>
      </c>
    </row>
    <row r="23" ht="16.5" customHeight="1">
      <c r="A23" s="9">
        <v>3252</v>
      </c>
      <c r="B23" s="9" t="s">
        <v>54</v>
      </c>
      <c r="C23" s="9" t="s">
        <v>34</v>
      </c>
      <c r="D23" s="10">
        <v>45369</v>
      </c>
      <c r="E23" s="9" t="s">
        <v>26</v>
      </c>
      <c r="F23" s="11">
        <v>10</v>
      </c>
      <c r="G23" s="9" t="s">
        <v>35</v>
      </c>
      <c r="H23" s="9" t="s">
        <v>30</v>
      </c>
      <c r="I23" s="11" t="s">
        <v>32</v>
      </c>
      <c r="J23" s="9" t="s">
        <v>26</v>
      </c>
      <c r="K23" s="11">
        <v>20</v>
      </c>
      <c r="L23" s="11">
        <v>15</v>
      </c>
      <c r="M23" s="11">
        <v>15</v>
      </c>
    </row>
    <row r="24" ht="16.5" customHeight="1">
      <c r="A24" s="9">
        <v>3253</v>
      </c>
      <c r="B24" s="9" t="s">
        <v>55</v>
      </c>
      <c r="C24" s="9" t="s">
        <v>29</v>
      </c>
      <c r="D24" s="10">
        <v>45370</v>
      </c>
      <c r="E24" s="9" t="s">
        <v>30</v>
      </c>
      <c r="F24" s="11">
        <v>5</v>
      </c>
      <c r="G24" s="9" t="s">
        <v>27</v>
      </c>
      <c r="H24" s="9" t="s">
        <v>30</v>
      </c>
      <c r="I24" s="11" t="s">
        <v>32</v>
      </c>
      <c r="J24" s="9" t="s">
        <v>30</v>
      </c>
      <c r="K24" s="11">
        <v>0</v>
      </c>
      <c r="L24" s="11">
        <v>1</v>
      </c>
      <c r="M24" s="11">
        <v>4</v>
      </c>
    </row>
    <row r="25" ht="16.5" customHeight="1">
      <c r="A25" s="9">
        <v>3254</v>
      </c>
      <c r="B25" s="9" t="s">
        <v>56</v>
      </c>
      <c r="C25" s="9" t="s">
        <v>25</v>
      </c>
      <c r="D25" s="10">
        <v>45371</v>
      </c>
      <c r="E25" s="9" t="s">
        <v>26</v>
      </c>
      <c r="F25" s="11">
        <v>15</v>
      </c>
      <c r="G25" s="9" t="s">
        <v>31</v>
      </c>
      <c r="H25" s="9" t="s">
        <v>26</v>
      </c>
      <c r="I25" s="11">
        <v>30</v>
      </c>
      <c r="J25" s="9" t="s">
        <v>26</v>
      </c>
      <c r="K25" s="11">
        <v>20</v>
      </c>
      <c r="L25" s="11">
        <v>20</v>
      </c>
      <c r="M25" s="11">
        <v>45</v>
      </c>
    </row>
    <row r="26" ht="16.5" customHeight="1">
      <c r="A26" s="9">
        <v>3255</v>
      </c>
      <c r="B26" s="9" t="s">
        <v>57</v>
      </c>
      <c r="C26" s="9" t="s">
        <v>34</v>
      </c>
      <c r="D26" s="10">
        <v>45372</v>
      </c>
      <c r="E26" s="9" t="s">
        <v>30</v>
      </c>
      <c r="F26" s="11">
        <v>10</v>
      </c>
      <c r="G26" s="9" t="s">
        <v>27</v>
      </c>
      <c r="H26" s="9" t="s">
        <v>30</v>
      </c>
      <c r="I26" s="11" t="s">
        <v>32</v>
      </c>
      <c r="J26" s="9" t="s">
        <v>26</v>
      </c>
      <c r="K26" s="11">
        <v>20</v>
      </c>
      <c r="L26" s="11">
        <v>10</v>
      </c>
      <c r="M26" s="11">
        <v>20</v>
      </c>
    </row>
    <row r="27" ht="16.5" customHeight="1">
      <c r="A27" s="9">
        <v>3256</v>
      </c>
      <c r="B27" s="9" t="s">
        <v>58</v>
      </c>
      <c r="C27" s="9" t="s">
        <v>29</v>
      </c>
      <c r="D27" s="10">
        <v>45373</v>
      </c>
      <c r="E27" s="9" t="s">
        <v>26</v>
      </c>
      <c r="F27" s="11">
        <v>5</v>
      </c>
      <c r="G27" s="9" t="s">
        <v>35</v>
      </c>
      <c r="H27" s="9" t="s">
        <v>30</v>
      </c>
      <c r="I27" s="11" t="s">
        <v>32</v>
      </c>
      <c r="J27" s="9" t="s">
        <v>30</v>
      </c>
      <c r="K27" s="11">
        <v>0</v>
      </c>
      <c r="L27" s="11">
        <v>0</v>
      </c>
      <c r="M27" s="11">
        <v>5</v>
      </c>
    </row>
    <row r="28" ht="16.5" customHeight="1">
      <c r="A28" s="9">
        <v>3257</v>
      </c>
      <c r="B28" s="9" t="s">
        <v>59</v>
      </c>
      <c r="C28" s="9" t="s">
        <v>25</v>
      </c>
      <c r="D28" s="10">
        <v>45374</v>
      </c>
      <c r="E28" s="9" t="s">
        <v>30</v>
      </c>
      <c r="F28" s="11">
        <v>15</v>
      </c>
      <c r="G28" s="9" t="s">
        <v>27</v>
      </c>
      <c r="H28" s="9" t="s">
        <v>26</v>
      </c>
      <c r="I28" s="11">
        <v>30</v>
      </c>
      <c r="J28" s="9" t="s">
        <v>26</v>
      </c>
      <c r="K28" s="11">
        <v>20</v>
      </c>
      <c r="L28" s="11">
        <v>5</v>
      </c>
      <c r="M28" s="11">
        <v>60</v>
      </c>
    </row>
    <row r="29" ht="16.5" customHeight="1">
      <c r="A29" s="9">
        <v>3258</v>
      </c>
      <c r="B29" s="9" t="s">
        <v>60</v>
      </c>
      <c r="C29" s="9" t="s">
        <v>34</v>
      </c>
      <c r="D29" s="10">
        <v>45375</v>
      </c>
      <c r="E29" s="9" t="s">
        <v>26</v>
      </c>
      <c r="F29" s="11">
        <v>10</v>
      </c>
      <c r="G29" s="9" t="s">
        <v>31</v>
      </c>
      <c r="H29" s="9" t="s">
        <v>30</v>
      </c>
      <c r="I29" s="11" t="s">
        <v>32</v>
      </c>
      <c r="J29" s="9" t="s">
        <v>26</v>
      </c>
      <c r="K29" s="11">
        <v>20</v>
      </c>
      <c r="L29" s="11">
        <v>15</v>
      </c>
      <c r="M29" s="11">
        <v>15</v>
      </c>
    </row>
    <row r="30" ht="16.5" customHeight="1">
      <c r="A30" s="9">
        <v>3259</v>
      </c>
      <c r="B30" s="9" t="s">
        <v>61</v>
      </c>
      <c r="C30" s="9" t="s">
        <v>29</v>
      </c>
      <c r="D30" s="10">
        <v>45376</v>
      </c>
      <c r="E30" s="9" t="s">
        <v>30</v>
      </c>
      <c r="F30" s="11">
        <v>5</v>
      </c>
      <c r="G30" s="9" t="s">
        <v>27</v>
      </c>
      <c r="H30" s="9" t="s">
        <v>30</v>
      </c>
      <c r="I30" s="11" t="s">
        <v>32</v>
      </c>
      <c r="J30" s="9" t="s">
        <v>30</v>
      </c>
      <c r="K30" s="11">
        <v>0</v>
      </c>
      <c r="L30" s="11">
        <v>1</v>
      </c>
      <c r="M30" s="11">
        <v>4</v>
      </c>
    </row>
    <row r="31" ht="16.5" customHeight="1">
      <c r="A31" s="9">
        <v>3260</v>
      </c>
      <c r="B31" s="9" t="s">
        <v>62</v>
      </c>
      <c r="C31" s="9" t="s">
        <v>25</v>
      </c>
      <c r="D31" s="10">
        <v>45377</v>
      </c>
      <c r="E31" s="9" t="s">
        <v>26</v>
      </c>
      <c r="F31" s="11">
        <v>15</v>
      </c>
      <c r="G31" s="9" t="s">
        <v>35</v>
      </c>
      <c r="H31" s="9" t="s">
        <v>26</v>
      </c>
      <c r="I31" s="11">
        <v>30</v>
      </c>
      <c r="J31" s="9" t="s">
        <v>26</v>
      </c>
      <c r="K31" s="11">
        <v>20</v>
      </c>
      <c r="L31" s="11">
        <v>7</v>
      </c>
      <c r="M31" s="11">
        <v>58</v>
      </c>
    </row>
    <row r="32" ht="16.5" customHeight="1">
      <c r="A32" s="9">
        <v>3261</v>
      </c>
      <c r="B32" s="9" t="s">
        <v>63</v>
      </c>
      <c r="C32" s="9" t="s">
        <v>34</v>
      </c>
      <c r="D32" s="10">
        <v>45378</v>
      </c>
      <c r="E32" s="9" t="s">
        <v>30</v>
      </c>
      <c r="F32" s="11">
        <v>10</v>
      </c>
      <c r="G32" s="9" t="s">
        <v>27</v>
      </c>
      <c r="H32" s="9" t="s">
        <v>30</v>
      </c>
      <c r="I32" s="11" t="s">
        <v>32</v>
      </c>
      <c r="J32" s="9" t="s">
        <v>26</v>
      </c>
      <c r="K32" s="11">
        <v>20</v>
      </c>
      <c r="L32" s="11">
        <v>10</v>
      </c>
      <c r="M32" s="11">
        <v>20</v>
      </c>
    </row>
    <row r="33" ht="16.5" customHeight="1">
      <c r="A33" s="9">
        <v>3262</v>
      </c>
      <c r="B33" s="9" t="s">
        <v>64</v>
      </c>
      <c r="C33" s="9" t="s">
        <v>29</v>
      </c>
      <c r="D33" s="10">
        <v>45379</v>
      </c>
      <c r="E33" s="9" t="s">
        <v>26</v>
      </c>
      <c r="F33" s="11">
        <v>5</v>
      </c>
      <c r="G33" s="9" t="s">
        <v>31</v>
      </c>
      <c r="H33" s="9" t="s">
        <v>30</v>
      </c>
      <c r="I33" s="11" t="s">
        <v>32</v>
      </c>
      <c r="J33" s="9" t="s">
        <v>30</v>
      </c>
      <c r="K33" s="11">
        <v>0</v>
      </c>
      <c r="L33" s="11">
        <v>0</v>
      </c>
      <c r="M33" s="11">
        <v>5</v>
      </c>
    </row>
    <row r="34" ht="16.5" customHeight="1">
      <c r="A34" s="9">
        <v>3263</v>
      </c>
      <c r="B34" s="9" t="s">
        <v>65</v>
      </c>
      <c r="C34" s="9" t="s">
        <v>25</v>
      </c>
      <c r="D34" s="10">
        <v>45380</v>
      </c>
      <c r="E34" s="9" t="s">
        <v>30</v>
      </c>
      <c r="F34" s="11">
        <v>15</v>
      </c>
      <c r="G34" s="9" t="s">
        <v>27</v>
      </c>
      <c r="H34" s="9" t="s">
        <v>26</v>
      </c>
      <c r="I34" s="11">
        <v>30</v>
      </c>
      <c r="J34" s="9" t="s">
        <v>26</v>
      </c>
      <c r="K34" s="11">
        <v>20</v>
      </c>
      <c r="L34" s="11">
        <v>3</v>
      </c>
      <c r="M34" s="11">
        <v>62</v>
      </c>
    </row>
    <row r="35" ht="16.5" customHeight="1">
      <c r="A35" s="9">
        <v>3264</v>
      </c>
      <c r="B35" s="9" t="s">
        <v>66</v>
      </c>
      <c r="C35" s="9" t="s">
        <v>34</v>
      </c>
      <c r="D35" s="10">
        <v>45381</v>
      </c>
      <c r="E35" s="9" t="s">
        <v>26</v>
      </c>
      <c r="F35" s="11">
        <v>10</v>
      </c>
      <c r="G35" s="9" t="s">
        <v>35</v>
      </c>
      <c r="H35" s="9" t="s">
        <v>30</v>
      </c>
      <c r="I35" s="11" t="s">
        <v>32</v>
      </c>
      <c r="J35" s="9" t="s">
        <v>26</v>
      </c>
      <c r="K35" s="11">
        <v>20</v>
      </c>
      <c r="L35" s="11">
        <v>15</v>
      </c>
      <c r="M35" s="11">
        <v>15</v>
      </c>
    </row>
    <row r="36" ht="16.5" customHeight="1">
      <c r="A36" s="9">
        <v>3265</v>
      </c>
      <c r="B36" s="9" t="s">
        <v>67</v>
      </c>
      <c r="C36" s="9" t="s">
        <v>29</v>
      </c>
      <c r="D36" s="10">
        <v>45382</v>
      </c>
      <c r="E36" s="9" t="s">
        <v>30</v>
      </c>
      <c r="F36" s="11">
        <v>5</v>
      </c>
      <c r="G36" s="9" t="s">
        <v>27</v>
      </c>
      <c r="H36" s="9" t="s">
        <v>30</v>
      </c>
      <c r="I36" s="11" t="s">
        <v>32</v>
      </c>
      <c r="J36" s="9" t="s">
        <v>30</v>
      </c>
      <c r="K36" s="11">
        <v>0</v>
      </c>
      <c r="L36" s="11">
        <v>1</v>
      </c>
      <c r="M36" s="11">
        <v>4</v>
      </c>
    </row>
    <row r="37" ht="16.5" customHeight="1">
      <c r="A37" s="9">
        <v>3266</v>
      </c>
      <c r="B37" s="9" t="s">
        <v>68</v>
      </c>
      <c r="C37" s="9" t="s">
        <v>29</v>
      </c>
      <c r="D37" s="10">
        <v>45383</v>
      </c>
      <c r="E37" s="9" t="s">
        <v>26</v>
      </c>
      <c r="F37" s="11">
        <v>5</v>
      </c>
      <c r="G37" s="9" t="s">
        <v>27</v>
      </c>
      <c r="H37" s="9" t="s">
        <v>30</v>
      </c>
      <c r="I37" s="11" t="s">
        <v>32</v>
      </c>
      <c r="J37" s="9" t="s">
        <v>30</v>
      </c>
      <c r="K37" s="11">
        <v>0</v>
      </c>
      <c r="L37" s="11">
        <v>0</v>
      </c>
      <c r="M37" s="11">
        <v>5</v>
      </c>
    </row>
    <row r="38" ht="16.5" customHeight="1">
      <c r="A38" s="9">
        <v>3267</v>
      </c>
      <c r="B38" s="9" t="s">
        <v>69</v>
      </c>
      <c r="C38" s="9" t="s">
        <v>25</v>
      </c>
      <c r="D38" s="10">
        <v>45384</v>
      </c>
      <c r="E38" s="9" t="s">
        <v>30</v>
      </c>
      <c r="F38" s="11">
        <v>15</v>
      </c>
      <c r="G38" s="9" t="s">
        <v>35</v>
      </c>
      <c r="H38" s="9" t="s">
        <v>26</v>
      </c>
      <c r="I38" s="11">
        <v>30</v>
      </c>
      <c r="J38" s="9" t="s">
        <v>26</v>
      </c>
      <c r="K38" s="11">
        <v>20</v>
      </c>
      <c r="L38" s="11">
        <v>7</v>
      </c>
      <c r="M38" s="11">
        <v>58</v>
      </c>
    </row>
    <row r="39" ht="16.5" customHeight="1">
      <c r="A39" s="9">
        <v>3268</v>
      </c>
      <c r="B39" s="9" t="s">
        <v>70</v>
      </c>
      <c r="C39" s="9" t="s">
        <v>34</v>
      </c>
      <c r="D39" s="10">
        <v>45385</v>
      </c>
      <c r="E39" s="9" t="s">
        <v>26</v>
      </c>
      <c r="F39" s="11">
        <v>10</v>
      </c>
      <c r="G39" s="9" t="s">
        <v>31</v>
      </c>
      <c r="H39" s="9" t="s">
        <v>30</v>
      </c>
      <c r="I39" s="11" t="s">
        <v>32</v>
      </c>
      <c r="J39" s="9" t="s">
        <v>26</v>
      </c>
      <c r="K39" s="11">
        <v>20</v>
      </c>
      <c r="L39" s="11">
        <v>10</v>
      </c>
      <c r="M39" s="11">
        <v>20</v>
      </c>
    </row>
    <row r="40" ht="16.5" customHeight="1">
      <c r="A40" s="9">
        <v>3269</v>
      </c>
      <c r="B40" s="9" t="s">
        <v>71</v>
      </c>
      <c r="C40" s="9" t="s">
        <v>29</v>
      </c>
      <c r="D40" s="10">
        <v>45386</v>
      </c>
      <c r="E40" s="9" t="s">
        <v>30</v>
      </c>
      <c r="F40" s="11">
        <v>5</v>
      </c>
      <c r="G40" s="9" t="s">
        <v>35</v>
      </c>
      <c r="H40" s="9" t="s">
        <v>30</v>
      </c>
      <c r="I40" s="11" t="s">
        <v>32</v>
      </c>
      <c r="J40" s="9" t="s">
        <v>30</v>
      </c>
      <c r="K40" s="11">
        <v>0</v>
      </c>
      <c r="L40" s="11">
        <v>1</v>
      </c>
      <c r="M40" s="11">
        <v>4</v>
      </c>
    </row>
    <row r="41" ht="16.5" customHeight="1">
      <c r="A41" s="9">
        <v>3270</v>
      </c>
      <c r="B41" s="9" t="s">
        <v>72</v>
      </c>
      <c r="C41" s="9" t="s">
        <v>25</v>
      </c>
      <c r="D41" s="10">
        <v>45387</v>
      </c>
      <c r="E41" s="9" t="s">
        <v>26</v>
      </c>
      <c r="F41" s="11">
        <v>15</v>
      </c>
      <c r="G41" s="9" t="s">
        <v>27</v>
      </c>
      <c r="H41" s="9" t="s">
        <v>26</v>
      </c>
      <c r="I41" s="11">
        <v>30</v>
      </c>
      <c r="J41" s="9" t="s">
        <v>26</v>
      </c>
      <c r="K41" s="11">
        <v>20</v>
      </c>
      <c r="L41" s="11">
        <v>15</v>
      </c>
      <c r="M41" s="11">
        <v>50</v>
      </c>
    </row>
    <row r="42" ht="16.5" customHeight="1">
      <c r="A42" s="9">
        <v>3271</v>
      </c>
      <c r="B42" s="9" t="s">
        <v>73</v>
      </c>
      <c r="C42" s="9" t="s">
        <v>34</v>
      </c>
      <c r="D42" s="10">
        <v>45388</v>
      </c>
      <c r="E42" s="9" t="s">
        <v>30</v>
      </c>
      <c r="F42" s="11">
        <v>10</v>
      </c>
      <c r="G42" s="9" t="s">
        <v>27</v>
      </c>
      <c r="H42" s="9" t="s">
        <v>30</v>
      </c>
      <c r="I42" s="11" t="s">
        <v>32</v>
      </c>
      <c r="J42" s="9" t="s">
        <v>26</v>
      </c>
      <c r="K42" s="11">
        <v>20</v>
      </c>
      <c r="L42" s="11">
        <v>5</v>
      </c>
      <c r="M42" s="11">
        <v>25</v>
      </c>
    </row>
    <row r="43" ht="16.5" customHeight="1">
      <c r="A43" s="9">
        <v>3272</v>
      </c>
      <c r="B43" s="9" t="s">
        <v>74</v>
      </c>
      <c r="C43" s="9" t="s">
        <v>29</v>
      </c>
      <c r="D43" s="10">
        <v>45389</v>
      </c>
      <c r="E43" s="9" t="s">
        <v>26</v>
      </c>
      <c r="F43" s="11">
        <v>5</v>
      </c>
      <c r="G43" s="9" t="s">
        <v>31</v>
      </c>
      <c r="H43" s="9" t="s">
        <v>30</v>
      </c>
      <c r="I43" s="11" t="s">
        <v>32</v>
      </c>
      <c r="J43" s="9" t="s">
        <v>30</v>
      </c>
      <c r="K43" s="11">
        <v>0</v>
      </c>
      <c r="L43" s="11">
        <v>0</v>
      </c>
      <c r="M43" s="11">
        <v>5</v>
      </c>
    </row>
    <row r="44" ht="16.5" customHeight="1">
      <c r="A44" s="9">
        <v>3273</v>
      </c>
      <c r="B44" s="9" t="s">
        <v>75</v>
      </c>
      <c r="C44" s="9" t="s">
        <v>25</v>
      </c>
      <c r="D44" s="10">
        <v>45390</v>
      </c>
      <c r="E44" s="9" t="s">
        <v>30</v>
      </c>
      <c r="F44" s="11">
        <v>15</v>
      </c>
      <c r="G44" s="9" t="s">
        <v>35</v>
      </c>
      <c r="H44" s="9" t="s">
        <v>26</v>
      </c>
      <c r="I44" s="11">
        <v>30</v>
      </c>
      <c r="J44" s="9" t="s">
        <v>26</v>
      </c>
      <c r="K44" s="11">
        <v>20</v>
      </c>
      <c r="L44" s="11">
        <v>20</v>
      </c>
      <c r="M44" s="11">
        <v>45</v>
      </c>
    </row>
    <row r="45" ht="16.5" customHeight="1">
      <c r="A45" s="9">
        <v>3274</v>
      </c>
      <c r="B45" s="9" t="s">
        <v>76</v>
      </c>
      <c r="C45" s="9" t="s">
        <v>34</v>
      </c>
      <c r="D45" s="10">
        <v>45391</v>
      </c>
      <c r="E45" s="9" t="s">
        <v>26</v>
      </c>
      <c r="F45" s="11">
        <v>10</v>
      </c>
      <c r="G45" s="9" t="s">
        <v>35</v>
      </c>
      <c r="H45" s="9" t="s">
        <v>30</v>
      </c>
      <c r="I45" s="11" t="s">
        <v>32</v>
      </c>
      <c r="J45" s="9" t="s">
        <v>26</v>
      </c>
      <c r="K45" s="11">
        <v>20</v>
      </c>
      <c r="L45" s="11">
        <v>12</v>
      </c>
      <c r="M45" s="11">
        <v>18</v>
      </c>
    </row>
    <row r="46" ht="16.5" customHeight="1">
      <c r="A46" s="9">
        <v>3275</v>
      </c>
      <c r="B46" s="9" t="s">
        <v>77</v>
      </c>
      <c r="C46" s="9" t="s">
        <v>29</v>
      </c>
      <c r="D46" s="10">
        <v>45392</v>
      </c>
      <c r="E46" s="9" t="s">
        <v>30</v>
      </c>
      <c r="F46" s="11">
        <v>5</v>
      </c>
      <c r="G46" s="9" t="s">
        <v>27</v>
      </c>
      <c r="H46" s="9" t="s">
        <v>30</v>
      </c>
      <c r="I46" s="11" t="s">
        <v>32</v>
      </c>
      <c r="J46" s="9" t="s">
        <v>30</v>
      </c>
      <c r="K46" s="11">
        <v>0</v>
      </c>
      <c r="L46" s="11">
        <v>2</v>
      </c>
      <c r="M46" s="11">
        <v>3</v>
      </c>
    </row>
    <row r="47" ht="16.5" customHeight="1">
      <c r="A47" s="9">
        <v>3276</v>
      </c>
      <c r="B47" s="9" t="s">
        <v>78</v>
      </c>
      <c r="C47" s="9" t="s">
        <v>25</v>
      </c>
      <c r="D47" s="10">
        <v>45393</v>
      </c>
      <c r="E47" s="9" t="s">
        <v>26</v>
      </c>
      <c r="F47" s="11">
        <v>15</v>
      </c>
      <c r="G47" s="9" t="s">
        <v>31</v>
      </c>
      <c r="H47" s="9" t="s">
        <v>26</v>
      </c>
      <c r="I47" s="11">
        <v>30</v>
      </c>
      <c r="J47" s="9" t="s">
        <v>26</v>
      </c>
      <c r="K47" s="11">
        <v>20</v>
      </c>
      <c r="L47" s="11">
        <v>5</v>
      </c>
      <c r="M47" s="11">
        <v>60</v>
      </c>
    </row>
    <row r="48" ht="16.5" customHeight="1">
      <c r="A48" s="9">
        <v>3277</v>
      </c>
      <c r="B48" s="9" t="s">
        <v>79</v>
      </c>
      <c r="C48" s="9" t="s">
        <v>34</v>
      </c>
      <c r="D48" s="10">
        <v>45394</v>
      </c>
      <c r="E48" s="9" t="s">
        <v>30</v>
      </c>
      <c r="F48" s="11">
        <v>10</v>
      </c>
      <c r="G48" s="9" t="s">
        <v>27</v>
      </c>
      <c r="H48" s="9" t="s">
        <v>30</v>
      </c>
      <c r="I48" s="11" t="s">
        <v>32</v>
      </c>
      <c r="J48" s="9" t="s">
        <v>26</v>
      </c>
      <c r="K48" s="11">
        <v>20</v>
      </c>
      <c r="L48" s="11">
        <v>10</v>
      </c>
      <c r="M48" s="11">
        <v>20</v>
      </c>
    </row>
    <row r="49" ht="16.5" customHeight="1">
      <c r="A49" s="9">
        <v>3278</v>
      </c>
      <c r="B49" s="9" t="s">
        <v>80</v>
      </c>
      <c r="C49" s="9" t="s">
        <v>29</v>
      </c>
      <c r="D49" s="10">
        <v>45395</v>
      </c>
      <c r="E49" s="9" t="s">
        <v>26</v>
      </c>
      <c r="F49" s="11">
        <v>5</v>
      </c>
      <c r="G49" s="9" t="s">
        <v>35</v>
      </c>
      <c r="H49" s="9" t="s">
        <v>30</v>
      </c>
      <c r="I49" s="11" t="s">
        <v>32</v>
      </c>
      <c r="J49" s="9" t="s">
        <v>30</v>
      </c>
      <c r="K49" s="11">
        <v>0</v>
      </c>
      <c r="L49" s="11">
        <v>0</v>
      </c>
      <c r="M49" s="11">
        <v>5</v>
      </c>
    </row>
    <row r="50" ht="16.5" customHeight="1">
      <c r="A50" s="9">
        <v>3279</v>
      </c>
      <c r="B50" s="9" t="s">
        <v>81</v>
      </c>
      <c r="C50" s="9" t="s">
        <v>25</v>
      </c>
      <c r="D50" s="10">
        <v>45396</v>
      </c>
      <c r="E50" s="9" t="s">
        <v>30</v>
      </c>
      <c r="F50" s="11">
        <v>15</v>
      </c>
      <c r="G50" s="9" t="s">
        <v>27</v>
      </c>
      <c r="H50" s="9" t="s">
        <v>26</v>
      </c>
      <c r="I50" s="11">
        <v>30</v>
      </c>
      <c r="J50" s="9" t="s">
        <v>26</v>
      </c>
      <c r="K50" s="11">
        <v>20</v>
      </c>
      <c r="L50" s="11">
        <v>3</v>
      </c>
      <c r="M50" s="11">
        <v>62</v>
      </c>
    </row>
    <row r="51" ht="16.5" customHeight="1">
      <c r="A51" s="9">
        <v>3280</v>
      </c>
      <c r="B51" s="9" t="s">
        <v>82</v>
      </c>
      <c r="C51" s="9" t="s">
        <v>34</v>
      </c>
      <c r="D51" s="10">
        <v>45397</v>
      </c>
      <c r="E51" s="9" t="s">
        <v>26</v>
      </c>
      <c r="F51" s="11">
        <v>10</v>
      </c>
      <c r="G51" s="9" t="s">
        <v>31</v>
      </c>
      <c r="H51" s="9" t="s">
        <v>30</v>
      </c>
      <c r="I51" s="11" t="s">
        <v>32</v>
      </c>
      <c r="J51" s="9" t="s">
        <v>26</v>
      </c>
      <c r="K51" s="11">
        <v>20</v>
      </c>
      <c r="L51" s="11">
        <v>15</v>
      </c>
      <c r="M51" s="11">
        <v>15</v>
      </c>
    </row>
    <row r="52" ht="16.5" customHeight="1">
      <c r="A52" s="9">
        <v>3281</v>
      </c>
      <c r="B52" s="9" t="s">
        <v>83</v>
      </c>
      <c r="C52" s="9" t="s">
        <v>29</v>
      </c>
      <c r="D52" s="10">
        <v>45398</v>
      </c>
      <c r="E52" s="9" t="s">
        <v>30</v>
      </c>
      <c r="F52" s="11">
        <v>5</v>
      </c>
      <c r="G52" s="9" t="s">
        <v>27</v>
      </c>
      <c r="H52" s="9" t="s">
        <v>30</v>
      </c>
      <c r="I52" s="11" t="s">
        <v>32</v>
      </c>
      <c r="J52" s="9" t="s">
        <v>30</v>
      </c>
      <c r="K52" s="11">
        <v>0</v>
      </c>
      <c r="L52" s="11">
        <v>1</v>
      </c>
      <c r="M52" s="11">
        <v>4</v>
      </c>
    </row>
    <row r="53" ht="16.5" customHeight="1">
      <c r="A53" s="9">
        <v>3282</v>
      </c>
      <c r="B53" s="9" t="s">
        <v>84</v>
      </c>
      <c r="C53" s="9" t="s">
        <v>25</v>
      </c>
      <c r="D53" s="10">
        <v>45399</v>
      </c>
      <c r="E53" s="9" t="s">
        <v>26</v>
      </c>
      <c r="F53" s="11">
        <v>15</v>
      </c>
      <c r="G53" s="9" t="s">
        <v>35</v>
      </c>
      <c r="H53" s="9" t="s">
        <v>26</v>
      </c>
      <c r="I53" s="11">
        <v>30</v>
      </c>
      <c r="J53" s="9" t="s">
        <v>26</v>
      </c>
      <c r="K53" s="11">
        <v>20</v>
      </c>
      <c r="L53" s="11">
        <v>7</v>
      </c>
      <c r="M53" s="11">
        <v>58</v>
      </c>
    </row>
    <row r="54" ht="16.5" customHeight="1">
      <c r="A54" s="9">
        <v>3283</v>
      </c>
      <c r="B54" s="9" t="s">
        <v>85</v>
      </c>
      <c r="C54" s="9" t="s">
        <v>34</v>
      </c>
      <c r="D54" s="10">
        <v>45400</v>
      </c>
      <c r="E54" s="9" t="s">
        <v>30</v>
      </c>
      <c r="F54" s="11">
        <v>10</v>
      </c>
      <c r="G54" s="9" t="s">
        <v>27</v>
      </c>
      <c r="H54" s="9" t="s">
        <v>30</v>
      </c>
      <c r="I54" s="11" t="s">
        <v>32</v>
      </c>
      <c r="J54" s="9" t="s">
        <v>26</v>
      </c>
      <c r="K54" s="11">
        <v>20</v>
      </c>
      <c r="L54" s="11">
        <v>10</v>
      </c>
      <c r="M54" s="11">
        <v>20</v>
      </c>
    </row>
    <row r="55" ht="16.5" customHeight="1">
      <c r="A55" s="9">
        <v>3284</v>
      </c>
      <c r="B55" s="9" t="s">
        <v>86</v>
      </c>
      <c r="C55" s="9" t="s">
        <v>29</v>
      </c>
      <c r="D55" s="10">
        <v>45401</v>
      </c>
      <c r="E55" s="9" t="s">
        <v>26</v>
      </c>
      <c r="F55" s="11">
        <v>5</v>
      </c>
      <c r="G55" s="9" t="s">
        <v>31</v>
      </c>
      <c r="H55" s="9" t="s">
        <v>30</v>
      </c>
      <c r="I55" s="11" t="s">
        <v>32</v>
      </c>
      <c r="J55" s="9" t="s">
        <v>30</v>
      </c>
      <c r="K55" s="11">
        <v>0</v>
      </c>
      <c r="L55" s="11">
        <v>0</v>
      </c>
      <c r="M55" s="11">
        <v>5</v>
      </c>
    </row>
    <row r="56" ht="16.5" customHeight="1">
      <c r="A56" s="9">
        <v>3285</v>
      </c>
      <c r="B56" s="9" t="s">
        <v>87</v>
      </c>
      <c r="C56" s="9" t="s">
        <v>25</v>
      </c>
      <c r="D56" s="10">
        <v>45402</v>
      </c>
      <c r="E56" s="9" t="s">
        <v>30</v>
      </c>
      <c r="F56" s="11">
        <v>15</v>
      </c>
      <c r="G56" s="9" t="s">
        <v>27</v>
      </c>
      <c r="H56" s="9" t="s">
        <v>26</v>
      </c>
      <c r="I56" s="11">
        <v>30</v>
      </c>
      <c r="J56" s="9" t="s">
        <v>26</v>
      </c>
      <c r="K56" s="11">
        <v>20</v>
      </c>
      <c r="L56" s="11">
        <v>20</v>
      </c>
      <c r="M56" s="11">
        <v>45</v>
      </c>
    </row>
    <row r="57" ht="16.5" customHeight="1">
      <c r="A57" s="9">
        <v>3286</v>
      </c>
      <c r="B57" s="9" t="s">
        <v>88</v>
      </c>
      <c r="C57" s="9" t="s">
        <v>34</v>
      </c>
      <c r="D57" s="10">
        <v>45403</v>
      </c>
      <c r="E57" s="9" t="s">
        <v>26</v>
      </c>
      <c r="F57" s="11">
        <v>10</v>
      </c>
      <c r="G57" s="9" t="s">
        <v>35</v>
      </c>
      <c r="H57" s="9" t="s">
        <v>30</v>
      </c>
      <c r="I57" s="11" t="s">
        <v>32</v>
      </c>
      <c r="J57" s="9" t="s">
        <v>26</v>
      </c>
      <c r="K57" s="11">
        <v>20</v>
      </c>
      <c r="L57" s="11">
        <v>15</v>
      </c>
      <c r="M57" s="11">
        <v>15</v>
      </c>
    </row>
    <row r="58" ht="16.5" customHeight="1">
      <c r="A58" s="9">
        <v>3287</v>
      </c>
      <c r="B58" s="9" t="s">
        <v>89</v>
      </c>
      <c r="C58" s="9" t="s">
        <v>29</v>
      </c>
      <c r="D58" s="10">
        <v>45404</v>
      </c>
      <c r="E58" s="9" t="s">
        <v>30</v>
      </c>
      <c r="F58" s="11">
        <v>5</v>
      </c>
      <c r="G58" s="9" t="s">
        <v>27</v>
      </c>
      <c r="H58" s="9" t="s">
        <v>30</v>
      </c>
      <c r="I58" s="11" t="s">
        <v>32</v>
      </c>
      <c r="J58" s="9" t="s">
        <v>30</v>
      </c>
      <c r="K58" s="11">
        <v>0</v>
      </c>
      <c r="L58" s="11">
        <v>1</v>
      </c>
      <c r="M58" s="11">
        <v>4</v>
      </c>
    </row>
    <row r="59" ht="16.5" customHeight="1">
      <c r="A59" s="9">
        <v>3288</v>
      </c>
      <c r="B59" s="9" t="s">
        <v>90</v>
      </c>
      <c r="C59" s="9" t="s">
        <v>25</v>
      </c>
      <c r="D59" s="10">
        <v>45405</v>
      </c>
      <c r="E59" s="9" t="s">
        <v>26</v>
      </c>
      <c r="F59" s="11">
        <v>15</v>
      </c>
      <c r="G59" s="9" t="s">
        <v>31</v>
      </c>
      <c r="H59" s="9" t="s">
        <v>26</v>
      </c>
      <c r="I59" s="11">
        <v>30</v>
      </c>
      <c r="J59" s="9" t="s">
        <v>26</v>
      </c>
      <c r="K59" s="11">
        <v>20</v>
      </c>
      <c r="L59" s="11">
        <v>3</v>
      </c>
      <c r="M59" s="11">
        <v>62</v>
      </c>
    </row>
    <row r="60" ht="16.5" customHeight="1">
      <c r="A60" s="9">
        <v>3289</v>
      </c>
      <c r="B60" s="9" t="s">
        <v>91</v>
      </c>
      <c r="C60" s="9" t="s">
        <v>34</v>
      </c>
      <c r="D60" s="10">
        <v>45406</v>
      </c>
      <c r="E60" s="9" t="s">
        <v>30</v>
      </c>
      <c r="F60" s="11">
        <v>10</v>
      </c>
      <c r="G60" s="9" t="s">
        <v>27</v>
      </c>
      <c r="H60" s="9" t="s">
        <v>30</v>
      </c>
      <c r="I60" s="11" t="s">
        <v>32</v>
      </c>
      <c r="J60" s="9" t="s">
        <v>26</v>
      </c>
      <c r="K60" s="11">
        <v>20</v>
      </c>
      <c r="L60" s="11">
        <v>10</v>
      </c>
      <c r="M60" s="11">
        <v>20</v>
      </c>
    </row>
    <row r="61" ht="16.5" customHeight="1">
      <c r="A61" s="9">
        <v>3290</v>
      </c>
      <c r="B61" s="9" t="s">
        <v>92</v>
      </c>
      <c r="C61" s="9" t="s">
        <v>29</v>
      </c>
      <c r="D61" s="10">
        <v>45407</v>
      </c>
      <c r="E61" s="9" t="s">
        <v>26</v>
      </c>
      <c r="F61" s="11">
        <v>5</v>
      </c>
      <c r="G61" s="9" t="s">
        <v>35</v>
      </c>
      <c r="H61" s="9" t="s">
        <v>30</v>
      </c>
      <c r="I61" s="11" t="s">
        <v>32</v>
      </c>
      <c r="J61" s="9" t="s">
        <v>30</v>
      </c>
      <c r="K61" s="11">
        <v>0</v>
      </c>
      <c r="L61" s="11">
        <v>0</v>
      </c>
      <c r="M61" s="11">
        <v>5</v>
      </c>
    </row>
    <row r="62" ht="16.5" customHeight="1">
      <c r="A62" s="9">
        <v>3291</v>
      </c>
      <c r="B62" s="9" t="s">
        <v>93</v>
      </c>
      <c r="C62" s="9" t="s">
        <v>25</v>
      </c>
      <c r="D62" s="10">
        <v>45408</v>
      </c>
      <c r="E62" s="9" t="s">
        <v>30</v>
      </c>
      <c r="F62" s="11">
        <v>15</v>
      </c>
      <c r="G62" s="9" t="s">
        <v>27</v>
      </c>
      <c r="H62" s="9" t="s">
        <v>26</v>
      </c>
      <c r="I62" s="11">
        <v>30</v>
      </c>
      <c r="J62" s="9" t="s">
        <v>26</v>
      </c>
      <c r="K62" s="11">
        <v>20</v>
      </c>
      <c r="L62" s="11">
        <v>5</v>
      </c>
      <c r="M62" s="11">
        <v>60</v>
      </c>
    </row>
    <row r="63" ht="16.5" customHeight="1">
      <c r="A63" s="9">
        <v>3292</v>
      </c>
      <c r="B63" s="9" t="s">
        <v>94</v>
      </c>
      <c r="C63" s="9" t="s">
        <v>34</v>
      </c>
      <c r="D63" s="10">
        <v>45409</v>
      </c>
      <c r="E63" s="9" t="s">
        <v>26</v>
      </c>
      <c r="F63" s="11">
        <v>10</v>
      </c>
      <c r="G63" s="9" t="s">
        <v>31</v>
      </c>
      <c r="H63" s="9" t="s">
        <v>30</v>
      </c>
      <c r="I63" s="11" t="s">
        <v>32</v>
      </c>
      <c r="J63" s="9" t="s">
        <v>26</v>
      </c>
      <c r="K63" s="11">
        <v>20</v>
      </c>
      <c r="L63" s="11">
        <v>15</v>
      </c>
      <c r="M63" s="11">
        <v>15</v>
      </c>
    </row>
    <row r="64" ht="16.5" customHeight="1">
      <c r="A64" s="9">
        <v>3293</v>
      </c>
      <c r="B64" s="9" t="s">
        <v>95</v>
      </c>
      <c r="C64" s="9" t="s">
        <v>29</v>
      </c>
      <c r="D64" s="10">
        <v>45410</v>
      </c>
      <c r="E64" s="9" t="s">
        <v>30</v>
      </c>
      <c r="F64" s="11">
        <v>5</v>
      </c>
      <c r="G64" s="9" t="s">
        <v>27</v>
      </c>
      <c r="H64" s="9" t="s">
        <v>30</v>
      </c>
      <c r="I64" s="11" t="s">
        <v>32</v>
      </c>
      <c r="J64" s="9" t="s">
        <v>30</v>
      </c>
      <c r="K64" s="11">
        <v>0</v>
      </c>
      <c r="L64" s="11">
        <v>1</v>
      </c>
      <c r="M64" s="11">
        <v>4</v>
      </c>
    </row>
    <row r="65" ht="16.5" customHeight="1">
      <c r="A65" s="9">
        <v>3294</v>
      </c>
      <c r="B65" s="9" t="s">
        <v>96</v>
      </c>
      <c r="C65" s="9" t="s">
        <v>25</v>
      </c>
      <c r="D65" s="10">
        <v>45411</v>
      </c>
      <c r="E65" s="9" t="s">
        <v>26</v>
      </c>
      <c r="F65" s="11">
        <v>15</v>
      </c>
      <c r="G65" s="9" t="s">
        <v>35</v>
      </c>
      <c r="H65" s="9" t="s">
        <v>26</v>
      </c>
      <c r="I65" s="11">
        <v>30</v>
      </c>
      <c r="J65" s="9" t="s">
        <v>26</v>
      </c>
      <c r="K65" s="11">
        <v>20</v>
      </c>
      <c r="L65" s="11">
        <v>20</v>
      </c>
      <c r="M65" s="11">
        <v>45</v>
      </c>
    </row>
    <row r="66" ht="16.5" customHeight="1">
      <c r="A66" s="9">
        <v>3295</v>
      </c>
      <c r="B66" s="9" t="s">
        <v>97</v>
      </c>
      <c r="C66" s="9" t="s">
        <v>34</v>
      </c>
      <c r="D66" s="10">
        <v>45412</v>
      </c>
      <c r="E66" s="9" t="s">
        <v>30</v>
      </c>
      <c r="F66" s="11">
        <v>10</v>
      </c>
      <c r="G66" s="9" t="s">
        <v>27</v>
      </c>
      <c r="H66" s="9" t="s">
        <v>30</v>
      </c>
      <c r="I66" s="11" t="s">
        <v>32</v>
      </c>
      <c r="J66" s="9" t="s">
        <v>26</v>
      </c>
      <c r="K66" s="11">
        <v>20</v>
      </c>
      <c r="L66" s="11">
        <v>5</v>
      </c>
      <c r="M66" s="11">
        <v>25</v>
      </c>
    </row>
    <row r="67" ht="16.5" customHeight="1">
      <c r="A67" s="9">
        <v>3296</v>
      </c>
      <c r="B67" s="9" t="s">
        <v>98</v>
      </c>
      <c r="C67" s="9" t="s">
        <v>29</v>
      </c>
      <c r="D67" s="10">
        <v>45413</v>
      </c>
      <c r="E67" s="9" t="s">
        <v>30</v>
      </c>
      <c r="F67" s="11">
        <v>5</v>
      </c>
      <c r="G67" s="9" t="s">
        <v>27</v>
      </c>
      <c r="H67" s="9" t="s">
        <v>30</v>
      </c>
      <c r="I67" s="11" t="s">
        <v>32</v>
      </c>
      <c r="J67" s="9" t="s">
        <v>30</v>
      </c>
      <c r="K67" s="11">
        <v>0</v>
      </c>
      <c r="L67" s="11">
        <v>0</v>
      </c>
      <c r="M67" s="11">
        <v>5</v>
      </c>
    </row>
    <row r="68" ht="16.5" customHeight="1">
      <c r="A68" s="9">
        <v>3297</v>
      </c>
      <c r="B68" s="9" t="s">
        <v>99</v>
      </c>
      <c r="C68" s="9" t="s">
        <v>25</v>
      </c>
      <c r="D68" s="10">
        <v>45414</v>
      </c>
      <c r="E68" s="9" t="s">
        <v>26</v>
      </c>
      <c r="F68" s="11">
        <v>15</v>
      </c>
      <c r="G68" s="9" t="s">
        <v>35</v>
      </c>
      <c r="H68" s="9" t="s">
        <v>26</v>
      </c>
      <c r="I68" s="11">
        <v>30</v>
      </c>
      <c r="J68" s="9" t="s">
        <v>26</v>
      </c>
      <c r="K68" s="11">
        <v>20</v>
      </c>
      <c r="L68" s="11">
        <v>7</v>
      </c>
      <c r="M68" s="11">
        <v>58</v>
      </c>
    </row>
    <row r="69" ht="16.5" customHeight="1">
      <c r="A69" s="9">
        <v>3298</v>
      </c>
      <c r="B69" s="9" t="s">
        <v>100</v>
      </c>
      <c r="C69" s="9" t="s">
        <v>34</v>
      </c>
      <c r="D69" s="10">
        <v>45415</v>
      </c>
      <c r="E69" s="9" t="s">
        <v>30</v>
      </c>
      <c r="F69" s="11">
        <v>10</v>
      </c>
      <c r="G69" s="9" t="s">
        <v>31</v>
      </c>
      <c r="H69" s="9" t="s">
        <v>30</v>
      </c>
      <c r="I69" s="11" t="s">
        <v>32</v>
      </c>
      <c r="J69" s="9" t="s">
        <v>26</v>
      </c>
      <c r="K69" s="11">
        <v>20</v>
      </c>
      <c r="L69" s="11">
        <v>10</v>
      </c>
      <c r="M69" s="11">
        <v>20</v>
      </c>
    </row>
    <row r="70" ht="16.5" customHeight="1">
      <c r="A70" s="9">
        <v>3299</v>
      </c>
      <c r="B70" s="9" t="s">
        <v>101</v>
      </c>
      <c r="C70" s="9" t="s">
        <v>29</v>
      </c>
      <c r="D70" s="10">
        <v>45416</v>
      </c>
      <c r="E70" s="9" t="s">
        <v>26</v>
      </c>
      <c r="F70" s="11">
        <v>5</v>
      </c>
      <c r="G70" s="9" t="s">
        <v>35</v>
      </c>
      <c r="H70" s="9" t="s">
        <v>30</v>
      </c>
      <c r="I70" s="11" t="s">
        <v>32</v>
      </c>
      <c r="J70" s="9" t="s">
        <v>30</v>
      </c>
      <c r="K70" s="11">
        <v>0</v>
      </c>
      <c r="L70" s="11">
        <v>1</v>
      </c>
      <c r="M70" s="11">
        <v>4</v>
      </c>
    </row>
    <row r="71" ht="16.5" customHeight="1">
      <c r="A71" s="9">
        <v>3300</v>
      </c>
      <c r="B71" s="9" t="s">
        <v>102</v>
      </c>
      <c r="C71" s="9" t="s">
        <v>25</v>
      </c>
      <c r="D71" s="10">
        <v>45417</v>
      </c>
      <c r="E71" s="9" t="s">
        <v>30</v>
      </c>
      <c r="F71" s="11">
        <v>15</v>
      </c>
      <c r="G71" s="9" t="s">
        <v>27</v>
      </c>
      <c r="H71" s="9" t="s">
        <v>26</v>
      </c>
      <c r="I71" s="11">
        <v>30</v>
      </c>
      <c r="J71" s="9" t="s">
        <v>26</v>
      </c>
      <c r="K71" s="11">
        <v>20</v>
      </c>
      <c r="L71" s="11">
        <v>15</v>
      </c>
      <c r="M71" s="11">
        <v>50</v>
      </c>
    </row>
    <row r="72" ht="16.5" customHeight="1">
      <c r="A72" s="9">
        <v>3301</v>
      </c>
      <c r="B72" s="9" t="s">
        <v>103</v>
      </c>
      <c r="C72" s="9" t="s">
        <v>34</v>
      </c>
      <c r="D72" s="10">
        <v>45418</v>
      </c>
      <c r="E72" s="9" t="s">
        <v>26</v>
      </c>
      <c r="F72" s="11">
        <v>10</v>
      </c>
      <c r="G72" s="9" t="s">
        <v>27</v>
      </c>
      <c r="H72" s="9" t="s">
        <v>30</v>
      </c>
      <c r="I72" s="11" t="s">
        <v>32</v>
      </c>
      <c r="J72" s="9" t="s">
        <v>26</v>
      </c>
      <c r="K72" s="11">
        <v>20</v>
      </c>
      <c r="L72" s="11">
        <v>5</v>
      </c>
      <c r="M72" s="11">
        <v>25</v>
      </c>
    </row>
    <row r="73" ht="16.5" customHeight="1">
      <c r="A73" s="9">
        <v>3302</v>
      </c>
      <c r="B73" s="9" t="s">
        <v>104</v>
      </c>
      <c r="C73" s="9" t="s">
        <v>29</v>
      </c>
      <c r="D73" s="10">
        <v>45419</v>
      </c>
      <c r="E73" s="9" t="s">
        <v>30</v>
      </c>
      <c r="F73" s="11">
        <v>5</v>
      </c>
      <c r="G73" s="9" t="s">
        <v>31</v>
      </c>
      <c r="H73" s="9" t="s">
        <v>30</v>
      </c>
      <c r="I73" s="11" t="s">
        <v>32</v>
      </c>
      <c r="J73" s="9" t="s">
        <v>30</v>
      </c>
      <c r="K73" s="11">
        <v>0</v>
      </c>
      <c r="L73" s="11">
        <v>0</v>
      </c>
      <c r="M73" s="11">
        <v>5</v>
      </c>
    </row>
    <row r="74" ht="16.5" customHeight="1">
      <c r="A74" s="9">
        <v>3303</v>
      </c>
      <c r="B74" s="9" t="s">
        <v>105</v>
      </c>
      <c r="C74" s="9" t="s">
        <v>25</v>
      </c>
      <c r="D74" s="10">
        <v>45420</v>
      </c>
      <c r="E74" s="9" t="s">
        <v>26</v>
      </c>
      <c r="F74" s="11">
        <v>15</v>
      </c>
      <c r="G74" s="9" t="s">
        <v>35</v>
      </c>
      <c r="H74" s="9" t="s">
        <v>26</v>
      </c>
      <c r="I74" s="11">
        <v>30</v>
      </c>
      <c r="J74" s="9" t="s">
        <v>26</v>
      </c>
      <c r="K74" s="11">
        <v>20</v>
      </c>
      <c r="L74" s="11">
        <v>20</v>
      </c>
      <c r="M74" s="11">
        <v>45</v>
      </c>
    </row>
    <row r="75" ht="16.5" customHeight="1">
      <c r="A75" s="9">
        <v>3304</v>
      </c>
      <c r="B75" s="9" t="s">
        <v>106</v>
      </c>
      <c r="C75" s="9" t="s">
        <v>34</v>
      </c>
      <c r="D75" s="10">
        <v>45421</v>
      </c>
      <c r="E75" s="9" t="s">
        <v>30</v>
      </c>
      <c r="F75" s="11">
        <v>10</v>
      </c>
      <c r="G75" s="9" t="s">
        <v>35</v>
      </c>
      <c r="H75" s="9" t="s">
        <v>30</v>
      </c>
      <c r="I75" s="11" t="s">
        <v>32</v>
      </c>
      <c r="J75" s="9" t="s">
        <v>26</v>
      </c>
      <c r="K75" s="11">
        <v>20</v>
      </c>
      <c r="L75" s="11">
        <v>12</v>
      </c>
      <c r="M75" s="11">
        <v>18</v>
      </c>
    </row>
    <row r="76" ht="16.5" customHeight="1">
      <c r="A76" s="9">
        <v>3305</v>
      </c>
      <c r="B76" s="9" t="s">
        <v>107</v>
      </c>
      <c r="C76" s="9" t="s">
        <v>29</v>
      </c>
      <c r="D76" s="10">
        <v>45422</v>
      </c>
      <c r="E76" s="9" t="s">
        <v>26</v>
      </c>
      <c r="F76" s="11">
        <v>5</v>
      </c>
      <c r="G76" s="9" t="s">
        <v>27</v>
      </c>
      <c r="H76" s="9" t="s">
        <v>30</v>
      </c>
      <c r="I76" s="11" t="s">
        <v>32</v>
      </c>
      <c r="J76" s="9" t="s">
        <v>30</v>
      </c>
      <c r="K76" s="11">
        <v>0</v>
      </c>
      <c r="L76" s="11">
        <v>2</v>
      </c>
      <c r="M76" s="11">
        <v>3</v>
      </c>
    </row>
    <row r="77" ht="16.5" customHeight="1">
      <c r="A77" s="9">
        <v>3306</v>
      </c>
      <c r="B77" s="9" t="s">
        <v>108</v>
      </c>
      <c r="C77" s="9" t="s">
        <v>25</v>
      </c>
      <c r="D77" s="10">
        <v>45423</v>
      </c>
      <c r="E77" s="9" t="s">
        <v>30</v>
      </c>
      <c r="F77" s="11">
        <v>15</v>
      </c>
      <c r="G77" s="9" t="s">
        <v>31</v>
      </c>
      <c r="H77" s="9" t="s">
        <v>26</v>
      </c>
      <c r="I77" s="11">
        <v>30</v>
      </c>
      <c r="J77" s="9" t="s">
        <v>26</v>
      </c>
      <c r="K77" s="11">
        <v>20</v>
      </c>
      <c r="L77" s="11">
        <v>5</v>
      </c>
      <c r="M77" s="11">
        <v>60</v>
      </c>
    </row>
    <row r="78" ht="16.5" customHeight="1">
      <c r="A78" s="9">
        <v>3307</v>
      </c>
      <c r="B78" s="9" t="s">
        <v>109</v>
      </c>
      <c r="C78" s="9" t="s">
        <v>34</v>
      </c>
      <c r="D78" s="10">
        <v>45424</v>
      </c>
      <c r="E78" s="9" t="s">
        <v>26</v>
      </c>
      <c r="F78" s="11">
        <v>10</v>
      </c>
      <c r="G78" s="9" t="s">
        <v>27</v>
      </c>
      <c r="H78" s="9" t="s">
        <v>30</v>
      </c>
      <c r="I78" s="11" t="s">
        <v>32</v>
      </c>
      <c r="J78" s="9" t="s">
        <v>26</v>
      </c>
      <c r="K78" s="11">
        <v>20</v>
      </c>
      <c r="L78" s="11">
        <v>10</v>
      </c>
      <c r="M78" s="11">
        <v>20</v>
      </c>
    </row>
    <row r="79" ht="16.5" customHeight="1">
      <c r="A79" s="9">
        <v>3308</v>
      </c>
      <c r="B79" s="9" t="s">
        <v>110</v>
      </c>
      <c r="C79" s="9" t="s">
        <v>29</v>
      </c>
      <c r="D79" s="10">
        <v>45425</v>
      </c>
      <c r="E79" s="9" t="s">
        <v>30</v>
      </c>
      <c r="F79" s="11">
        <v>5</v>
      </c>
      <c r="G79" s="9" t="s">
        <v>35</v>
      </c>
      <c r="H79" s="9" t="s">
        <v>30</v>
      </c>
      <c r="I79" s="11" t="s">
        <v>32</v>
      </c>
      <c r="J79" s="9" t="s">
        <v>30</v>
      </c>
      <c r="K79" s="11">
        <v>0</v>
      </c>
      <c r="L79" s="11">
        <v>0</v>
      </c>
      <c r="M79" s="11">
        <v>5</v>
      </c>
    </row>
    <row r="80" ht="16.5" customHeight="1">
      <c r="A80" s="9">
        <v>3309</v>
      </c>
      <c r="B80" s="9" t="s">
        <v>111</v>
      </c>
      <c r="C80" s="9" t="s">
        <v>25</v>
      </c>
      <c r="D80" s="10">
        <v>45426</v>
      </c>
      <c r="E80" s="9" t="s">
        <v>26</v>
      </c>
      <c r="F80" s="11">
        <v>15</v>
      </c>
      <c r="G80" s="9" t="s">
        <v>27</v>
      </c>
      <c r="H80" s="9" t="s">
        <v>26</v>
      </c>
      <c r="I80" s="11">
        <v>30</v>
      </c>
      <c r="J80" s="9" t="s">
        <v>26</v>
      </c>
      <c r="K80" s="11">
        <v>20</v>
      </c>
      <c r="L80" s="11">
        <v>3</v>
      </c>
      <c r="M80" s="11">
        <v>62</v>
      </c>
    </row>
    <row r="81" ht="16.5" customHeight="1">
      <c r="A81" s="9">
        <v>3310</v>
      </c>
      <c r="B81" s="9" t="s">
        <v>112</v>
      </c>
      <c r="C81" s="9" t="s">
        <v>34</v>
      </c>
      <c r="D81" s="10">
        <v>45427</v>
      </c>
      <c r="E81" s="9" t="s">
        <v>30</v>
      </c>
      <c r="F81" s="11">
        <v>10</v>
      </c>
      <c r="G81" s="9" t="s">
        <v>31</v>
      </c>
      <c r="H81" s="9" t="s">
        <v>30</v>
      </c>
      <c r="I81" s="11" t="s">
        <v>32</v>
      </c>
      <c r="J81" s="9" t="s">
        <v>26</v>
      </c>
      <c r="K81" s="11">
        <v>20</v>
      </c>
      <c r="L81" s="11">
        <v>15</v>
      </c>
      <c r="M81" s="11">
        <v>15</v>
      </c>
    </row>
    <row r="82" ht="16.5" customHeight="1">
      <c r="A82" s="9">
        <v>3311</v>
      </c>
      <c r="B82" s="9" t="s">
        <v>113</v>
      </c>
      <c r="C82" s="9" t="s">
        <v>29</v>
      </c>
      <c r="D82" s="10">
        <v>45428</v>
      </c>
      <c r="E82" s="9" t="s">
        <v>26</v>
      </c>
      <c r="F82" s="11">
        <v>5</v>
      </c>
      <c r="G82" s="9" t="s">
        <v>27</v>
      </c>
      <c r="H82" s="9" t="s">
        <v>30</v>
      </c>
      <c r="I82" s="11" t="s">
        <v>32</v>
      </c>
      <c r="J82" s="9" t="s">
        <v>30</v>
      </c>
      <c r="K82" s="11">
        <v>0</v>
      </c>
      <c r="L82" s="11">
        <v>1</v>
      </c>
      <c r="M82" s="11">
        <v>4</v>
      </c>
    </row>
    <row r="83" ht="16.5" customHeight="1">
      <c r="A83" s="9">
        <v>3312</v>
      </c>
      <c r="B83" s="9" t="s">
        <v>114</v>
      </c>
      <c r="C83" s="9" t="s">
        <v>25</v>
      </c>
      <c r="D83" s="10">
        <v>45429</v>
      </c>
      <c r="E83" s="9" t="s">
        <v>30</v>
      </c>
      <c r="F83" s="11">
        <v>15</v>
      </c>
      <c r="G83" s="9" t="s">
        <v>35</v>
      </c>
      <c r="H83" s="9" t="s">
        <v>26</v>
      </c>
      <c r="I83" s="11">
        <v>30</v>
      </c>
      <c r="J83" s="9" t="s">
        <v>26</v>
      </c>
      <c r="K83" s="11">
        <v>20</v>
      </c>
      <c r="L83" s="11">
        <v>7</v>
      </c>
      <c r="M83" s="11">
        <v>58</v>
      </c>
    </row>
    <row r="84" ht="16.5" customHeight="1">
      <c r="A84" s="9">
        <v>3313</v>
      </c>
      <c r="B84" s="9" t="s">
        <v>115</v>
      </c>
      <c r="C84" s="9" t="s">
        <v>34</v>
      </c>
      <c r="D84" s="10">
        <v>45430</v>
      </c>
      <c r="E84" s="9" t="s">
        <v>26</v>
      </c>
      <c r="F84" s="11">
        <v>10</v>
      </c>
      <c r="G84" s="9" t="s">
        <v>27</v>
      </c>
      <c r="H84" s="9" t="s">
        <v>30</v>
      </c>
      <c r="I84" s="11" t="s">
        <v>32</v>
      </c>
      <c r="J84" s="9" t="s">
        <v>26</v>
      </c>
      <c r="K84" s="11">
        <v>20</v>
      </c>
      <c r="L84" s="11">
        <v>10</v>
      </c>
      <c r="M84" s="11">
        <v>20</v>
      </c>
    </row>
    <row r="85" ht="16.5" customHeight="1">
      <c r="A85" s="9">
        <v>3314</v>
      </c>
      <c r="B85" s="9" t="s">
        <v>116</v>
      </c>
      <c r="C85" s="9" t="s">
        <v>29</v>
      </c>
      <c r="D85" s="10">
        <v>45431</v>
      </c>
      <c r="E85" s="9" t="s">
        <v>30</v>
      </c>
      <c r="F85" s="11">
        <v>5</v>
      </c>
      <c r="G85" s="9" t="s">
        <v>31</v>
      </c>
      <c r="H85" s="9" t="s">
        <v>30</v>
      </c>
      <c r="I85" s="11" t="s">
        <v>32</v>
      </c>
      <c r="J85" s="9" t="s">
        <v>30</v>
      </c>
      <c r="K85" s="11">
        <v>0</v>
      </c>
      <c r="L85" s="11">
        <v>0</v>
      </c>
      <c r="M85" s="11">
        <v>5</v>
      </c>
    </row>
    <row r="86" ht="16.5" customHeight="1">
      <c r="A86" s="9">
        <v>3315</v>
      </c>
      <c r="B86" s="9" t="s">
        <v>117</v>
      </c>
      <c r="C86" s="9" t="s">
        <v>25</v>
      </c>
      <c r="D86" s="10">
        <v>45432</v>
      </c>
      <c r="E86" s="9" t="s">
        <v>26</v>
      </c>
      <c r="F86" s="11">
        <v>15</v>
      </c>
      <c r="G86" s="9" t="s">
        <v>27</v>
      </c>
      <c r="H86" s="9" t="s">
        <v>26</v>
      </c>
      <c r="I86" s="11">
        <v>30</v>
      </c>
      <c r="J86" s="9" t="s">
        <v>26</v>
      </c>
      <c r="K86" s="11">
        <v>20</v>
      </c>
      <c r="L86" s="11">
        <v>20</v>
      </c>
      <c r="M86" s="11">
        <v>45</v>
      </c>
    </row>
    <row r="87" ht="16.5" customHeight="1">
      <c r="A87" s="9">
        <v>3316</v>
      </c>
      <c r="B87" s="9" t="s">
        <v>118</v>
      </c>
      <c r="C87" s="9" t="s">
        <v>34</v>
      </c>
      <c r="D87" s="10">
        <v>45433</v>
      </c>
      <c r="E87" s="9" t="s">
        <v>30</v>
      </c>
      <c r="F87" s="11">
        <v>10</v>
      </c>
      <c r="G87" s="9" t="s">
        <v>35</v>
      </c>
      <c r="H87" s="9" t="s">
        <v>30</v>
      </c>
      <c r="I87" s="11" t="s">
        <v>32</v>
      </c>
      <c r="J87" s="9" t="s">
        <v>26</v>
      </c>
      <c r="K87" s="11">
        <v>20</v>
      </c>
      <c r="L87" s="11">
        <v>15</v>
      </c>
      <c r="M87" s="11">
        <v>15</v>
      </c>
    </row>
    <row r="88" ht="16.5" customHeight="1">
      <c r="A88" s="9">
        <v>3317</v>
      </c>
      <c r="B88" s="9" t="s">
        <v>119</v>
      </c>
      <c r="C88" s="9" t="s">
        <v>29</v>
      </c>
      <c r="D88" s="10">
        <v>45434</v>
      </c>
      <c r="E88" s="9" t="s">
        <v>26</v>
      </c>
      <c r="F88" s="11">
        <v>5</v>
      </c>
      <c r="G88" s="9" t="s">
        <v>27</v>
      </c>
      <c r="H88" s="9" t="s">
        <v>30</v>
      </c>
      <c r="I88" s="11" t="s">
        <v>32</v>
      </c>
      <c r="J88" s="9" t="s">
        <v>30</v>
      </c>
      <c r="K88" s="11">
        <v>0</v>
      </c>
      <c r="L88" s="11">
        <v>1</v>
      </c>
      <c r="M88" s="11">
        <v>4</v>
      </c>
    </row>
    <row r="89" ht="16.5" customHeight="1">
      <c r="A89" s="9">
        <v>3318</v>
      </c>
      <c r="B89" s="9" t="s">
        <v>120</v>
      </c>
      <c r="C89" s="9" t="s">
        <v>25</v>
      </c>
      <c r="D89" s="10">
        <v>45435</v>
      </c>
      <c r="E89" s="9" t="s">
        <v>30</v>
      </c>
      <c r="F89" s="11">
        <v>15</v>
      </c>
      <c r="G89" s="9" t="s">
        <v>31</v>
      </c>
      <c r="H89" s="9" t="s">
        <v>26</v>
      </c>
      <c r="I89" s="11">
        <v>30</v>
      </c>
      <c r="J89" s="9" t="s">
        <v>26</v>
      </c>
      <c r="K89" s="11">
        <v>20</v>
      </c>
      <c r="L89" s="11">
        <v>3</v>
      </c>
      <c r="M89" s="11">
        <v>62</v>
      </c>
    </row>
    <row r="90" ht="16.5" customHeight="1">
      <c r="A90" s="9">
        <v>3319</v>
      </c>
      <c r="B90" s="9" t="s">
        <v>121</v>
      </c>
      <c r="C90" s="9" t="s">
        <v>34</v>
      </c>
      <c r="D90" s="10">
        <v>45436</v>
      </c>
      <c r="E90" s="9" t="s">
        <v>26</v>
      </c>
      <c r="F90" s="11">
        <v>10</v>
      </c>
      <c r="G90" s="9" t="s">
        <v>27</v>
      </c>
      <c r="H90" s="9" t="s">
        <v>30</v>
      </c>
      <c r="I90" s="11" t="s">
        <v>32</v>
      </c>
      <c r="J90" s="9" t="s">
        <v>26</v>
      </c>
      <c r="K90" s="11">
        <v>20</v>
      </c>
      <c r="L90" s="11">
        <v>10</v>
      </c>
      <c r="M90" s="11">
        <v>20</v>
      </c>
    </row>
    <row r="91" ht="16.5" customHeight="1">
      <c r="A91" s="9">
        <v>3320</v>
      </c>
      <c r="B91" s="9" t="s">
        <v>122</v>
      </c>
      <c r="C91" s="9" t="s">
        <v>29</v>
      </c>
      <c r="D91" s="10">
        <v>45437</v>
      </c>
      <c r="E91" s="9" t="s">
        <v>30</v>
      </c>
      <c r="F91" s="11">
        <v>5</v>
      </c>
      <c r="G91" s="9" t="s">
        <v>35</v>
      </c>
      <c r="H91" s="9" t="s">
        <v>30</v>
      </c>
      <c r="I91" s="11" t="s">
        <v>32</v>
      </c>
      <c r="J91" s="9" t="s">
        <v>30</v>
      </c>
      <c r="K91" s="11">
        <v>0</v>
      </c>
      <c r="L91" s="11">
        <v>0</v>
      </c>
      <c r="M91" s="11">
        <v>5</v>
      </c>
    </row>
    <row r="92" ht="16.5" customHeight="1">
      <c r="A92" s="9">
        <v>3321</v>
      </c>
      <c r="B92" s="9" t="s">
        <v>123</v>
      </c>
      <c r="C92" s="9" t="s">
        <v>25</v>
      </c>
      <c r="D92" s="10">
        <v>45438</v>
      </c>
      <c r="E92" s="9" t="s">
        <v>26</v>
      </c>
      <c r="F92" s="11">
        <v>15</v>
      </c>
      <c r="G92" s="9" t="s">
        <v>27</v>
      </c>
      <c r="H92" s="9" t="s">
        <v>26</v>
      </c>
      <c r="I92" s="11">
        <v>30</v>
      </c>
      <c r="J92" s="9" t="s">
        <v>26</v>
      </c>
      <c r="K92" s="11">
        <v>20</v>
      </c>
      <c r="L92" s="11">
        <v>5</v>
      </c>
      <c r="M92" s="11">
        <v>60</v>
      </c>
    </row>
    <row r="93" ht="16.5" customHeight="1">
      <c r="A93" s="9">
        <v>3322</v>
      </c>
      <c r="B93" s="9" t="s">
        <v>124</v>
      </c>
      <c r="C93" s="9" t="s">
        <v>34</v>
      </c>
      <c r="D93" s="10">
        <v>45439</v>
      </c>
      <c r="E93" s="9" t="s">
        <v>30</v>
      </c>
      <c r="F93" s="11">
        <v>10</v>
      </c>
      <c r="G93" s="9" t="s">
        <v>31</v>
      </c>
      <c r="H93" s="9" t="s">
        <v>30</v>
      </c>
      <c r="I93" s="11" t="s">
        <v>32</v>
      </c>
      <c r="J93" s="9" t="s">
        <v>26</v>
      </c>
      <c r="K93" s="11">
        <v>20</v>
      </c>
      <c r="L93" s="11">
        <v>15</v>
      </c>
      <c r="M93" s="11">
        <v>15</v>
      </c>
    </row>
    <row r="94" ht="16.5" customHeight="1">
      <c r="A94" s="9">
        <v>3323</v>
      </c>
      <c r="B94" s="9" t="s">
        <v>125</v>
      </c>
      <c r="C94" s="9" t="s">
        <v>29</v>
      </c>
      <c r="D94" s="10">
        <v>45440</v>
      </c>
      <c r="E94" s="9" t="s">
        <v>26</v>
      </c>
      <c r="F94" s="11">
        <v>5</v>
      </c>
      <c r="G94" s="9" t="s">
        <v>27</v>
      </c>
      <c r="H94" s="9" t="s">
        <v>30</v>
      </c>
      <c r="I94" s="11" t="s">
        <v>32</v>
      </c>
      <c r="J94" s="9" t="s">
        <v>30</v>
      </c>
      <c r="K94" s="11">
        <v>0</v>
      </c>
      <c r="L94" s="11">
        <v>1</v>
      </c>
      <c r="M94" s="11">
        <v>4</v>
      </c>
    </row>
    <row r="95" ht="16.5" customHeight="1">
      <c r="A95" s="9">
        <v>3324</v>
      </c>
      <c r="B95" s="9" t="s">
        <v>126</v>
      </c>
      <c r="C95" s="9" t="s">
        <v>25</v>
      </c>
      <c r="D95" s="10">
        <v>45441</v>
      </c>
      <c r="E95" s="9" t="s">
        <v>30</v>
      </c>
      <c r="F95" s="11">
        <v>15</v>
      </c>
      <c r="G95" s="9" t="s">
        <v>35</v>
      </c>
      <c r="H95" s="9" t="s">
        <v>26</v>
      </c>
      <c r="I95" s="11">
        <v>30</v>
      </c>
      <c r="J95" s="9" t="s">
        <v>26</v>
      </c>
      <c r="K95" s="11">
        <v>20</v>
      </c>
      <c r="L95" s="11">
        <v>20</v>
      </c>
      <c r="M95" s="11">
        <v>45</v>
      </c>
    </row>
    <row r="96" ht="16.5" customHeight="1">
      <c r="A96" s="9">
        <v>3325</v>
      </c>
      <c r="B96" s="9" t="s">
        <v>127</v>
      </c>
      <c r="C96" s="9" t="s">
        <v>34</v>
      </c>
      <c r="D96" s="10">
        <v>45442</v>
      </c>
      <c r="E96" s="9" t="s">
        <v>26</v>
      </c>
      <c r="F96" s="11">
        <v>10</v>
      </c>
      <c r="G96" s="9" t="s">
        <v>35</v>
      </c>
      <c r="H96" s="9" t="s">
        <v>30</v>
      </c>
      <c r="I96" s="11" t="s">
        <v>32</v>
      </c>
      <c r="J96" s="9" t="s">
        <v>26</v>
      </c>
      <c r="K96" s="11">
        <v>20</v>
      </c>
      <c r="L96" s="11">
        <v>15</v>
      </c>
      <c r="M96" s="11">
        <v>15</v>
      </c>
    </row>
    <row r="97" ht="16.5" customHeight="1">
      <c r="A97" s="9">
        <v>3326</v>
      </c>
      <c r="B97" s="9" t="s">
        <v>128</v>
      </c>
      <c r="C97" s="9" t="s">
        <v>29</v>
      </c>
      <c r="D97" s="10">
        <v>45443</v>
      </c>
      <c r="E97" s="9" t="s">
        <v>30</v>
      </c>
      <c r="F97" s="11">
        <v>5</v>
      </c>
      <c r="G97" s="9" t="s">
        <v>31</v>
      </c>
      <c r="H97" s="9" t="s">
        <v>30</v>
      </c>
      <c r="I97" s="11" t="s">
        <v>32</v>
      </c>
      <c r="J97" s="9" t="s">
        <v>30</v>
      </c>
      <c r="K97" s="11">
        <v>0</v>
      </c>
      <c r="L97" s="11">
        <v>0</v>
      </c>
      <c r="M97" s="11">
        <v>5</v>
      </c>
    </row>
    <row r="98" ht="16.5" customHeight="1">
      <c r="A98" s="9">
        <v>3327</v>
      </c>
      <c r="B98" s="9" t="s">
        <v>129</v>
      </c>
      <c r="C98" s="9" t="s">
        <v>25</v>
      </c>
      <c r="D98" s="10">
        <v>45444</v>
      </c>
      <c r="E98" s="9" t="s">
        <v>26</v>
      </c>
      <c r="F98" s="11">
        <v>15</v>
      </c>
      <c r="G98" s="9" t="s">
        <v>27</v>
      </c>
      <c r="H98" s="9" t="s">
        <v>26</v>
      </c>
      <c r="I98" s="11">
        <v>30</v>
      </c>
      <c r="J98" s="9" t="s">
        <v>26</v>
      </c>
      <c r="K98" s="11">
        <v>20</v>
      </c>
      <c r="L98" s="11">
        <v>7</v>
      </c>
      <c r="M98" s="11">
        <v>58</v>
      </c>
    </row>
    <row r="99" ht="16.5" customHeight="1">
      <c r="A99" s="9">
        <v>3328</v>
      </c>
      <c r="B99" s="9" t="s">
        <v>130</v>
      </c>
      <c r="C99" s="9" t="s">
        <v>34</v>
      </c>
      <c r="D99" s="10">
        <v>45445</v>
      </c>
      <c r="E99" s="9" t="s">
        <v>30</v>
      </c>
      <c r="F99" s="11">
        <v>10</v>
      </c>
      <c r="G99" s="9" t="s">
        <v>31</v>
      </c>
      <c r="H99" s="9" t="s">
        <v>30</v>
      </c>
      <c r="I99" s="11" t="s">
        <v>32</v>
      </c>
      <c r="J99" s="9" t="s">
        <v>26</v>
      </c>
      <c r="K99" s="11">
        <v>20</v>
      </c>
      <c r="L99" s="11">
        <v>10</v>
      </c>
      <c r="M99" s="11">
        <v>20</v>
      </c>
    </row>
    <row r="100" ht="16.5" customHeight="1">
      <c r="A100" s="9">
        <v>3329</v>
      </c>
      <c r="B100" s="9" t="s">
        <v>131</v>
      </c>
      <c r="C100" s="9" t="s">
        <v>29</v>
      </c>
      <c r="D100" s="10">
        <v>45446</v>
      </c>
      <c r="E100" s="9" t="s">
        <v>26</v>
      </c>
      <c r="F100" s="11">
        <v>5</v>
      </c>
      <c r="G100" s="9" t="s">
        <v>35</v>
      </c>
      <c r="H100" s="9" t="s">
        <v>30</v>
      </c>
      <c r="I100" s="11" t="s">
        <v>32</v>
      </c>
      <c r="J100" s="9" t="s">
        <v>30</v>
      </c>
      <c r="K100" s="11">
        <v>0</v>
      </c>
      <c r="L100" s="11">
        <v>1</v>
      </c>
      <c r="M100" s="11">
        <v>4</v>
      </c>
    </row>
    <row r="101" ht="16.5" customHeight="1">
      <c r="A101" s="9">
        <v>3330</v>
      </c>
      <c r="B101" s="9" t="s">
        <v>132</v>
      </c>
      <c r="C101" s="9" t="s">
        <v>25</v>
      </c>
      <c r="D101" s="10">
        <v>45447</v>
      </c>
      <c r="E101" s="9" t="s">
        <v>30</v>
      </c>
      <c r="F101" s="11">
        <v>15</v>
      </c>
      <c r="G101" s="9" t="s">
        <v>27</v>
      </c>
      <c r="H101" s="9" t="s">
        <v>26</v>
      </c>
      <c r="I101" s="11">
        <v>30</v>
      </c>
      <c r="J101" s="9" t="s">
        <v>26</v>
      </c>
      <c r="K101" s="11">
        <v>20</v>
      </c>
      <c r="L101" s="11">
        <v>15</v>
      </c>
      <c r="M101" s="11">
        <v>50</v>
      </c>
    </row>
    <row r="102" ht="16.5" customHeight="1">
      <c r="A102" s="9">
        <v>3331</v>
      </c>
      <c r="B102" s="9" t="s">
        <v>133</v>
      </c>
      <c r="C102" s="9" t="s">
        <v>34</v>
      </c>
      <c r="D102" s="10">
        <v>45448</v>
      </c>
      <c r="E102" s="9" t="s">
        <v>26</v>
      </c>
      <c r="F102" s="11">
        <v>10</v>
      </c>
      <c r="G102" s="9" t="s">
        <v>27</v>
      </c>
      <c r="H102" s="9" t="s">
        <v>30</v>
      </c>
      <c r="I102" s="11" t="s">
        <v>32</v>
      </c>
      <c r="J102" s="9" t="s">
        <v>26</v>
      </c>
      <c r="K102" s="11">
        <v>20</v>
      </c>
      <c r="L102" s="11">
        <v>5</v>
      </c>
      <c r="M102" s="11">
        <v>25</v>
      </c>
    </row>
    <row r="103" ht="16.5" customHeight="1">
      <c r="A103" s="9">
        <v>3332</v>
      </c>
      <c r="B103" s="9" t="s">
        <v>134</v>
      </c>
      <c r="C103" s="9" t="s">
        <v>29</v>
      </c>
      <c r="D103" s="10">
        <v>45449</v>
      </c>
      <c r="E103" s="9" t="s">
        <v>30</v>
      </c>
      <c r="F103" s="11">
        <v>5</v>
      </c>
      <c r="G103" s="9" t="s">
        <v>31</v>
      </c>
      <c r="H103" s="9" t="s">
        <v>30</v>
      </c>
      <c r="I103" s="11" t="s">
        <v>32</v>
      </c>
      <c r="J103" s="9" t="s">
        <v>30</v>
      </c>
      <c r="K103" s="11">
        <v>0</v>
      </c>
      <c r="L103" s="11">
        <v>0</v>
      </c>
      <c r="M103" s="11">
        <v>5</v>
      </c>
    </row>
    <row r="104" ht="16.5" customHeight="1">
      <c r="A104" s="9">
        <v>3333</v>
      </c>
      <c r="B104" s="9" t="s">
        <v>135</v>
      </c>
      <c r="C104" s="9" t="s">
        <v>25</v>
      </c>
      <c r="D104" s="10">
        <v>45450</v>
      </c>
      <c r="E104" s="9" t="s">
        <v>26</v>
      </c>
      <c r="F104" s="11">
        <v>15</v>
      </c>
      <c r="G104" s="9" t="s">
        <v>35</v>
      </c>
      <c r="H104" s="9" t="s">
        <v>26</v>
      </c>
      <c r="I104" s="11">
        <v>30</v>
      </c>
      <c r="J104" s="9" t="s">
        <v>26</v>
      </c>
      <c r="K104" s="11">
        <v>20</v>
      </c>
      <c r="L104" s="11">
        <v>20</v>
      </c>
      <c r="M104" s="11">
        <v>45</v>
      </c>
    </row>
    <row r="105" ht="16.5" customHeight="1">
      <c r="A105" s="9">
        <v>3334</v>
      </c>
      <c r="B105" s="9" t="s">
        <v>136</v>
      </c>
      <c r="C105" s="9" t="s">
        <v>34</v>
      </c>
      <c r="D105" s="10">
        <v>45451</v>
      </c>
      <c r="E105" s="9" t="s">
        <v>30</v>
      </c>
      <c r="F105" s="11">
        <v>10</v>
      </c>
      <c r="G105" s="9" t="s">
        <v>35</v>
      </c>
      <c r="H105" s="9" t="s">
        <v>30</v>
      </c>
      <c r="I105" s="11" t="s">
        <v>32</v>
      </c>
      <c r="J105" s="9" t="s">
        <v>26</v>
      </c>
      <c r="K105" s="11">
        <v>20</v>
      </c>
      <c r="L105" s="11">
        <v>12</v>
      </c>
      <c r="M105" s="11">
        <v>18</v>
      </c>
    </row>
    <row r="106" ht="16.5" customHeight="1">
      <c r="A106" s="9">
        <v>3335</v>
      </c>
      <c r="B106" s="9" t="s">
        <v>137</v>
      </c>
      <c r="C106" s="9" t="s">
        <v>29</v>
      </c>
      <c r="D106" s="10">
        <v>45452</v>
      </c>
      <c r="E106" s="9" t="s">
        <v>26</v>
      </c>
      <c r="F106" s="11">
        <v>5</v>
      </c>
      <c r="G106" s="9" t="s">
        <v>27</v>
      </c>
      <c r="H106" s="9" t="s">
        <v>30</v>
      </c>
      <c r="I106" s="11" t="s">
        <v>32</v>
      </c>
      <c r="J106" s="9" t="s">
        <v>30</v>
      </c>
      <c r="K106" s="11">
        <v>0</v>
      </c>
      <c r="L106" s="11">
        <v>2</v>
      </c>
      <c r="M106" s="11">
        <v>3</v>
      </c>
    </row>
    <row r="107" ht="16.5" customHeight="1">
      <c r="A107" s="9">
        <v>3336</v>
      </c>
      <c r="B107" s="9" t="s">
        <v>138</v>
      </c>
      <c r="C107" s="9" t="s">
        <v>29</v>
      </c>
      <c r="D107" s="10">
        <v>45453</v>
      </c>
      <c r="E107" s="9" t="s">
        <v>26</v>
      </c>
      <c r="F107" s="11">
        <v>5</v>
      </c>
      <c r="G107" s="9" t="s">
        <v>27</v>
      </c>
      <c r="H107" s="9" t="s">
        <v>30</v>
      </c>
      <c r="I107" s="11" t="s">
        <v>32</v>
      </c>
      <c r="J107" s="9" t="s">
        <v>30</v>
      </c>
      <c r="K107" s="11">
        <v>0</v>
      </c>
      <c r="L107" s="11">
        <v>0</v>
      </c>
      <c r="M107" s="11">
        <v>5</v>
      </c>
    </row>
    <row r="108" ht="16.5" customHeight="1">
      <c r="A108" s="9">
        <v>3337</v>
      </c>
      <c r="B108" s="9" t="s">
        <v>139</v>
      </c>
      <c r="C108" s="9" t="s">
        <v>25</v>
      </c>
      <c r="D108" s="10">
        <v>45454</v>
      </c>
      <c r="E108" s="9" t="s">
        <v>30</v>
      </c>
      <c r="F108" s="11">
        <v>15</v>
      </c>
      <c r="G108" s="9" t="s">
        <v>35</v>
      </c>
      <c r="H108" s="9" t="s">
        <v>26</v>
      </c>
      <c r="I108" s="11">
        <v>30</v>
      </c>
      <c r="J108" s="9" t="s">
        <v>26</v>
      </c>
      <c r="K108" s="11">
        <v>20</v>
      </c>
      <c r="L108" s="11">
        <v>7</v>
      </c>
      <c r="M108" s="11">
        <v>58</v>
      </c>
    </row>
    <row r="109" ht="16.5" customHeight="1">
      <c r="A109" s="9">
        <v>3338</v>
      </c>
      <c r="B109" s="9" t="s">
        <v>140</v>
      </c>
      <c r="C109" s="9" t="s">
        <v>34</v>
      </c>
      <c r="D109" s="10">
        <v>45455</v>
      </c>
      <c r="E109" s="9" t="s">
        <v>26</v>
      </c>
      <c r="F109" s="11">
        <v>10</v>
      </c>
      <c r="G109" s="9" t="s">
        <v>31</v>
      </c>
      <c r="H109" s="9" t="s">
        <v>30</v>
      </c>
      <c r="I109" s="11" t="s">
        <v>32</v>
      </c>
      <c r="J109" s="9" t="s">
        <v>26</v>
      </c>
      <c r="K109" s="11">
        <v>20</v>
      </c>
      <c r="L109" s="11">
        <v>10</v>
      </c>
      <c r="M109" s="11">
        <v>20</v>
      </c>
    </row>
    <row r="110" ht="16.5" customHeight="1">
      <c r="A110" s="9">
        <v>3339</v>
      </c>
      <c r="B110" s="9" t="s">
        <v>141</v>
      </c>
      <c r="C110" s="9" t="s">
        <v>29</v>
      </c>
      <c r="D110" s="10">
        <v>45456</v>
      </c>
      <c r="E110" s="9" t="s">
        <v>30</v>
      </c>
      <c r="F110" s="11">
        <v>5</v>
      </c>
      <c r="G110" s="9" t="s">
        <v>35</v>
      </c>
      <c r="H110" s="9" t="s">
        <v>30</v>
      </c>
      <c r="I110" s="11" t="s">
        <v>32</v>
      </c>
      <c r="J110" s="9" t="s">
        <v>30</v>
      </c>
      <c r="K110" s="11">
        <v>0</v>
      </c>
      <c r="L110" s="11">
        <v>1</v>
      </c>
      <c r="M110" s="11">
        <v>4</v>
      </c>
    </row>
    <row r="111" ht="16.5" customHeight="1">
      <c r="A111" s="9">
        <v>3340</v>
      </c>
      <c r="B111" s="9" t="s">
        <v>142</v>
      </c>
      <c r="C111" s="9" t="s">
        <v>25</v>
      </c>
      <c r="D111" s="10">
        <v>45457</v>
      </c>
      <c r="E111" s="9" t="s">
        <v>26</v>
      </c>
      <c r="F111" s="11">
        <v>15</v>
      </c>
      <c r="G111" s="9" t="s">
        <v>27</v>
      </c>
      <c r="H111" s="9" t="s">
        <v>26</v>
      </c>
      <c r="I111" s="11">
        <v>30</v>
      </c>
      <c r="J111" s="9" t="s">
        <v>26</v>
      </c>
      <c r="K111" s="11">
        <v>20</v>
      </c>
      <c r="L111" s="11">
        <v>15</v>
      </c>
      <c r="M111" s="11">
        <v>50</v>
      </c>
    </row>
    <row r="112" ht="16.5" customHeight="1">
      <c r="A112" s="9">
        <v>3341</v>
      </c>
      <c r="B112" s="9" t="s">
        <v>143</v>
      </c>
      <c r="C112" s="9" t="s">
        <v>34</v>
      </c>
      <c r="D112" s="10">
        <v>45458</v>
      </c>
      <c r="E112" s="9" t="s">
        <v>30</v>
      </c>
      <c r="F112" s="11">
        <v>10</v>
      </c>
      <c r="G112" s="9" t="s">
        <v>27</v>
      </c>
      <c r="H112" s="9" t="s">
        <v>30</v>
      </c>
      <c r="I112" s="11" t="s">
        <v>32</v>
      </c>
      <c r="J112" s="9" t="s">
        <v>26</v>
      </c>
      <c r="K112" s="11">
        <v>20</v>
      </c>
      <c r="L112" s="11">
        <v>5</v>
      </c>
      <c r="M112" s="11">
        <v>25</v>
      </c>
    </row>
    <row r="113" ht="16.5" customHeight="1">
      <c r="A113" s="9">
        <v>3342</v>
      </c>
      <c r="B113" s="9" t="s">
        <v>144</v>
      </c>
      <c r="C113" s="9" t="s">
        <v>29</v>
      </c>
      <c r="D113" s="10">
        <v>45459</v>
      </c>
      <c r="E113" s="9" t="s">
        <v>26</v>
      </c>
      <c r="F113" s="11">
        <v>5</v>
      </c>
      <c r="G113" s="9" t="s">
        <v>31</v>
      </c>
      <c r="H113" s="9" t="s">
        <v>30</v>
      </c>
      <c r="I113" s="11" t="s">
        <v>32</v>
      </c>
      <c r="J113" s="9" t="s">
        <v>30</v>
      </c>
      <c r="K113" s="11">
        <v>0</v>
      </c>
      <c r="L113" s="11">
        <v>0</v>
      </c>
      <c r="M113" s="11">
        <v>5</v>
      </c>
    </row>
    <row r="114" ht="16.5" customHeight="1">
      <c r="A114" s="9">
        <v>3343</v>
      </c>
      <c r="B114" s="9" t="s">
        <v>145</v>
      </c>
      <c r="C114" s="9" t="s">
        <v>25</v>
      </c>
      <c r="D114" s="10">
        <v>45460</v>
      </c>
      <c r="E114" s="9" t="s">
        <v>30</v>
      </c>
      <c r="F114" s="11">
        <v>15</v>
      </c>
      <c r="G114" s="9" t="s">
        <v>35</v>
      </c>
      <c r="H114" s="9" t="s">
        <v>26</v>
      </c>
      <c r="I114" s="11">
        <v>30</v>
      </c>
      <c r="J114" s="9" t="s">
        <v>26</v>
      </c>
      <c r="K114" s="11">
        <v>20</v>
      </c>
      <c r="L114" s="11">
        <v>20</v>
      </c>
      <c r="M114" s="11">
        <v>45</v>
      </c>
    </row>
    <row r="115" ht="16.5" customHeight="1">
      <c r="A115" s="9">
        <v>3344</v>
      </c>
      <c r="B115" s="9" t="s">
        <v>146</v>
      </c>
      <c r="C115" s="9" t="s">
        <v>34</v>
      </c>
      <c r="D115" s="10">
        <v>45461</v>
      </c>
      <c r="E115" s="9" t="s">
        <v>26</v>
      </c>
      <c r="F115" s="11">
        <v>10</v>
      </c>
      <c r="G115" s="9" t="s">
        <v>35</v>
      </c>
      <c r="H115" s="9" t="s">
        <v>30</v>
      </c>
      <c r="I115" s="11" t="s">
        <v>32</v>
      </c>
      <c r="J115" s="9" t="s">
        <v>26</v>
      </c>
      <c r="K115" s="11">
        <v>20</v>
      </c>
      <c r="L115" s="11">
        <v>12</v>
      </c>
      <c r="M115" s="11">
        <v>18</v>
      </c>
    </row>
    <row r="116" ht="16.5" customHeight="1">
      <c r="A116" s="9">
        <v>3345</v>
      </c>
      <c r="B116" s="9" t="s">
        <v>147</v>
      </c>
      <c r="C116" s="9" t="s">
        <v>29</v>
      </c>
      <c r="D116" s="10">
        <v>45462</v>
      </c>
      <c r="E116" s="9" t="s">
        <v>30</v>
      </c>
      <c r="F116" s="11">
        <v>5</v>
      </c>
      <c r="G116" s="9" t="s">
        <v>27</v>
      </c>
      <c r="H116" s="9" t="s">
        <v>30</v>
      </c>
      <c r="I116" s="11" t="s">
        <v>32</v>
      </c>
      <c r="J116" s="9" t="s">
        <v>30</v>
      </c>
      <c r="K116" s="11">
        <v>0</v>
      </c>
      <c r="L116" s="11">
        <v>2</v>
      </c>
      <c r="M116" s="11">
        <v>3</v>
      </c>
    </row>
    <row r="117" ht="16.5" customHeight="1">
      <c r="A117" s="9">
        <v>3346</v>
      </c>
      <c r="B117" s="9" t="s">
        <v>148</v>
      </c>
      <c r="C117" s="9" t="s">
        <v>25</v>
      </c>
      <c r="D117" s="10">
        <v>45463</v>
      </c>
      <c r="E117" s="9" t="s">
        <v>26</v>
      </c>
      <c r="F117" s="11">
        <v>15</v>
      </c>
      <c r="G117" s="9" t="s">
        <v>31</v>
      </c>
      <c r="H117" s="9" t="s">
        <v>26</v>
      </c>
      <c r="I117" s="11">
        <v>30</v>
      </c>
      <c r="J117" s="9" t="s">
        <v>26</v>
      </c>
      <c r="K117" s="11">
        <v>20</v>
      </c>
      <c r="L117" s="11">
        <v>5</v>
      </c>
      <c r="M117" s="11">
        <v>60</v>
      </c>
    </row>
    <row r="118" ht="16.5" customHeight="1">
      <c r="A118" s="9">
        <v>3347</v>
      </c>
      <c r="B118" s="9" t="s">
        <v>149</v>
      </c>
      <c r="C118" s="9" t="s">
        <v>34</v>
      </c>
      <c r="D118" s="10">
        <v>45464</v>
      </c>
      <c r="E118" s="9" t="s">
        <v>30</v>
      </c>
      <c r="F118" s="11">
        <v>10</v>
      </c>
      <c r="G118" s="9" t="s">
        <v>27</v>
      </c>
      <c r="H118" s="9" t="s">
        <v>30</v>
      </c>
      <c r="I118" s="11" t="s">
        <v>32</v>
      </c>
      <c r="J118" s="9" t="s">
        <v>26</v>
      </c>
      <c r="K118" s="11">
        <v>20</v>
      </c>
      <c r="L118" s="11">
        <v>10</v>
      </c>
      <c r="M118" s="11">
        <v>20</v>
      </c>
    </row>
    <row r="119" ht="16.5" customHeight="1">
      <c r="A119" s="9">
        <v>3348</v>
      </c>
      <c r="B119" s="9" t="s">
        <v>150</v>
      </c>
      <c r="C119" s="9" t="s">
        <v>29</v>
      </c>
      <c r="D119" s="10">
        <v>45465</v>
      </c>
      <c r="E119" s="9" t="s">
        <v>26</v>
      </c>
      <c r="F119" s="11">
        <v>5</v>
      </c>
      <c r="G119" s="9" t="s">
        <v>35</v>
      </c>
      <c r="H119" s="9" t="s">
        <v>30</v>
      </c>
      <c r="I119" s="11" t="s">
        <v>32</v>
      </c>
      <c r="J119" s="9" t="s">
        <v>30</v>
      </c>
      <c r="K119" s="11">
        <v>0</v>
      </c>
      <c r="L119" s="11">
        <v>0</v>
      </c>
      <c r="M119" s="11">
        <v>5</v>
      </c>
    </row>
    <row r="120" ht="16.5" customHeight="1">
      <c r="A120" s="9">
        <v>3349</v>
      </c>
      <c r="B120" s="9" t="s">
        <v>126</v>
      </c>
      <c r="C120" s="9" t="s">
        <v>25</v>
      </c>
      <c r="D120" s="10">
        <v>45466</v>
      </c>
      <c r="E120" s="9" t="s">
        <v>30</v>
      </c>
      <c r="F120" s="11">
        <v>15</v>
      </c>
      <c r="G120" s="9" t="s">
        <v>27</v>
      </c>
      <c r="H120" s="9" t="s">
        <v>26</v>
      </c>
      <c r="I120" s="11">
        <v>30</v>
      </c>
      <c r="J120" s="9" t="s">
        <v>26</v>
      </c>
      <c r="K120" s="11">
        <v>20</v>
      </c>
      <c r="L120" s="11">
        <v>3</v>
      </c>
      <c r="M120" s="11">
        <v>62</v>
      </c>
    </row>
    <row r="121" ht="16.5" customHeight="1">
      <c r="A121" s="9">
        <v>3350</v>
      </c>
      <c r="B121" s="9" t="s">
        <v>151</v>
      </c>
      <c r="C121" s="9" t="s">
        <v>34</v>
      </c>
      <c r="D121" s="10">
        <v>45467</v>
      </c>
      <c r="E121" s="9" t="s">
        <v>26</v>
      </c>
      <c r="F121" s="11">
        <v>10</v>
      </c>
      <c r="G121" s="9" t="s">
        <v>31</v>
      </c>
      <c r="H121" s="9" t="s">
        <v>30</v>
      </c>
      <c r="I121" s="11" t="s">
        <v>32</v>
      </c>
      <c r="J121" s="9" t="s">
        <v>26</v>
      </c>
      <c r="K121" s="11">
        <v>20</v>
      </c>
      <c r="L121" s="11">
        <v>15</v>
      </c>
      <c r="M121" s="11">
        <v>15</v>
      </c>
    </row>
    <row r="122" ht="16.5" customHeight="1">
      <c r="A122" s="9">
        <v>3351</v>
      </c>
      <c r="B122" s="9" t="s">
        <v>152</v>
      </c>
      <c r="C122" s="9" t="s">
        <v>29</v>
      </c>
      <c r="D122" s="10">
        <v>45468</v>
      </c>
      <c r="E122" s="9" t="s">
        <v>30</v>
      </c>
      <c r="F122" s="11">
        <v>5</v>
      </c>
      <c r="G122" s="9" t="s">
        <v>27</v>
      </c>
      <c r="H122" s="9" t="s">
        <v>30</v>
      </c>
      <c r="I122" s="11" t="s">
        <v>32</v>
      </c>
      <c r="J122" s="9" t="s">
        <v>30</v>
      </c>
      <c r="K122" s="11">
        <v>0</v>
      </c>
      <c r="L122" s="11">
        <v>1</v>
      </c>
      <c r="M122" s="11">
        <v>4</v>
      </c>
    </row>
    <row r="123" ht="16.5" customHeight="1">
      <c r="A123" s="9">
        <v>3352</v>
      </c>
      <c r="B123" s="9" t="s">
        <v>153</v>
      </c>
      <c r="C123" s="9" t="s">
        <v>25</v>
      </c>
      <c r="D123" s="10">
        <v>45469</v>
      </c>
      <c r="E123" s="9" t="s">
        <v>26</v>
      </c>
      <c r="F123" s="11">
        <v>15</v>
      </c>
      <c r="G123" s="9" t="s">
        <v>35</v>
      </c>
      <c r="H123" s="9" t="s">
        <v>26</v>
      </c>
      <c r="I123" s="11">
        <v>30</v>
      </c>
      <c r="J123" s="9" t="s">
        <v>26</v>
      </c>
      <c r="K123" s="11">
        <v>20</v>
      </c>
      <c r="L123" s="11">
        <v>7</v>
      </c>
      <c r="M123" s="11">
        <v>58</v>
      </c>
    </row>
    <row r="124" ht="16.5" customHeight="1">
      <c r="A124" s="9">
        <v>3353</v>
      </c>
      <c r="B124" s="9" t="s">
        <v>154</v>
      </c>
      <c r="C124" s="9" t="s">
        <v>34</v>
      </c>
      <c r="D124" s="10">
        <v>45470</v>
      </c>
      <c r="E124" s="9" t="s">
        <v>30</v>
      </c>
      <c r="F124" s="11">
        <v>10</v>
      </c>
      <c r="G124" s="9" t="s">
        <v>27</v>
      </c>
      <c r="H124" s="9" t="s">
        <v>30</v>
      </c>
      <c r="I124" s="11" t="s">
        <v>32</v>
      </c>
      <c r="J124" s="9" t="s">
        <v>26</v>
      </c>
      <c r="K124" s="11">
        <v>20</v>
      </c>
      <c r="L124" s="11">
        <v>10</v>
      </c>
      <c r="M124" s="11">
        <v>20</v>
      </c>
    </row>
    <row r="125" ht="16.5" customHeight="1">
      <c r="A125" s="9">
        <v>3354</v>
      </c>
      <c r="B125" s="9" t="s">
        <v>155</v>
      </c>
      <c r="C125" s="9" t="s">
        <v>29</v>
      </c>
      <c r="D125" s="10">
        <v>45471</v>
      </c>
      <c r="E125" s="9" t="s">
        <v>26</v>
      </c>
      <c r="F125" s="11">
        <v>5</v>
      </c>
      <c r="G125" s="9" t="s">
        <v>31</v>
      </c>
      <c r="H125" s="9" t="s">
        <v>30</v>
      </c>
      <c r="I125" s="11" t="s">
        <v>32</v>
      </c>
      <c r="J125" s="9" t="s">
        <v>30</v>
      </c>
      <c r="K125" s="11">
        <v>0</v>
      </c>
      <c r="L125" s="11">
        <v>0</v>
      </c>
      <c r="M125" s="11">
        <v>5</v>
      </c>
    </row>
    <row r="126" ht="16.5" customHeight="1">
      <c r="A126" s="9">
        <v>3355</v>
      </c>
      <c r="B126" s="9" t="s">
        <v>156</v>
      </c>
      <c r="C126" s="9" t="s">
        <v>25</v>
      </c>
      <c r="D126" s="10">
        <v>45472</v>
      </c>
      <c r="E126" s="9" t="s">
        <v>30</v>
      </c>
      <c r="F126" s="11">
        <v>15</v>
      </c>
      <c r="G126" s="9" t="s">
        <v>27</v>
      </c>
      <c r="H126" s="9" t="s">
        <v>26</v>
      </c>
      <c r="I126" s="11">
        <v>30</v>
      </c>
      <c r="J126" s="9" t="s">
        <v>26</v>
      </c>
      <c r="K126" s="11">
        <v>20</v>
      </c>
      <c r="L126" s="11">
        <v>20</v>
      </c>
      <c r="M126" s="11">
        <v>45</v>
      </c>
    </row>
    <row r="127" ht="16.5" customHeight="1">
      <c r="A127" s="9">
        <v>3356</v>
      </c>
      <c r="B127" s="9" t="s">
        <v>157</v>
      </c>
      <c r="C127" s="9" t="s">
        <v>34</v>
      </c>
      <c r="D127" s="10">
        <v>45473</v>
      </c>
      <c r="E127" s="9" t="s">
        <v>26</v>
      </c>
      <c r="F127" s="11">
        <v>10</v>
      </c>
      <c r="G127" s="9" t="s">
        <v>35</v>
      </c>
      <c r="H127" s="9" t="s">
        <v>30</v>
      </c>
      <c r="I127" s="11" t="s">
        <v>32</v>
      </c>
      <c r="J127" s="9" t="s">
        <v>26</v>
      </c>
      <c r="K127" s="11">
        <v>20</v>
      </c>
      <c r="L127" s="11">
        <v>15</v>
      </c>
      <c r="M127" s="11">
        <v>15</v>
      </c>
    </row>
    <row r="128" ht="16.5" customHeight="1">
      <c r="A128" s="9">
        <v>3357</v>
      </c>
      <c r="B128" s="9" t="s">
        <v>158</v>
      </c>
      <c r="C128" s="9" t="s">
        <v>29</v>
      </c>
      <c r="D128" s="10">
        <v>45474</v>
      </c>
      <c r="E128" s="9" t="s">
        <v>30</v>
      </c>
      <c r="F128" s="11">
        <v>5</v>
      </c>
      <c r="G128" s="9" t="s">
        <v>27</v>
      </c>
      <c r="H128" s="9" t="s">
        <v>30</v>
      </c>
      <c r="I128" s="11" t="s">
        <v>32</v>
      </c>
      <c r="J128" s="9" t="s">
        <v>30</v>
      </c>
      <c r="K128" s="11">
        <v>0</v>
      </c>
      <c r="L128" s="11">
        <v>1</v>
      </c>
      <c r="M128" s="11">
        <v>4</v>
      </c>
    </row>
    <row r="129" ht="16.5" customHeight="1">
      <c r="A129" s="9">
        <v>3358</v>
      </c>
      <c r="B129" s="9" t="s">
        <v>159</v>
      </c>
      <c r="C129" s="9" t="s">
        <v>25</v>
      </c>
      <c r="D129" s="10">
        <v>45475</v>
      </c>
      <c r="E129" s="9" t="s">
        <v>26</v>
      </c>
      <c r="F129" s="11">
        <v>15</v>
      </c>
      <c r="G129" s="9" t="s">
        <v>31</v>
      </c>
      <c r="H129" s="9" t="s">
        <v>26</v>
      </c>
      <c r="I129" s="11">
        <v>30</v>
      </c>
      <c r="J129" s="9" t="s">
        <v>26</v>
      </c>
      <c r="K129" s="11">
        <v>20</v>
      </c>
      <c r="L129" s="11">
        <v>3</v>
      </c>
      <c r="M129" s="11">
        <v>62</v>
      </c>
    </row>
    <row r="130" ht="16.5" customHeight="1">
      <c r="A130" s="9">
        <v>3359</v>
      </c>
      <c r="B130" s="9" t="s">
        <v>160</v>
      </c>
      <c r="C130" s="9" t="s">
        <v>34</v>
      </c>
      <c r="D130" s="10">
        <v>45476</v>
      </c>
      <c r="E130" s="9" t="s">
        <v>30</v>
      </c>
      <c r="F130" s="11">
        <v>10</v>
      </c>
      <c r="G130" s="9" t="s">
        <v>27</v>
      </c>
      <c r="H130" s="9" t="s">
        <v>30</v>
      </c>
      <c r="I130" s="11" t="s">
        <v>32</v>
      </c>
      <c r="J130" s="9" t="s">
        <v>26</v>
      </c>
      <c r="K130" s="11">
        <v>20</v>
      </c>
      <c r="L130" s="11">
        <v>10</v>
      </c>
      <c r="M130" s="11">
        <v>20</v>
      </c>
    </row>
    <row r="131" ht="16.5" customHeight="1">
      <c r="A131" s="9">
        <v>3360</v>
      </c>
      <c r="B131" s="9" t="s">
        <v>161</v>
      </c>
      <c r="C131" s="9" t="s">
        <v>29</v>
      </c>
      <c r="D131" s="10">
        <v>45477</v>
      </c>
      <c r="E131" s="9" t="s">
        <v>26</v>
      </c>
      <c r="F131" s="11">
        <v>5</v>
      </c>
      <c r="G131" s="9" t="s">
        <v>35</v>
      </c>
      <c r="H131" s="9" t="s">
        <v>30</v>
      </c>
      <c r="I131" s="11" t="s">
        <v>32</v>
      </c>
      <c r="J131" s="9" t="s">
        <v>30</v>
      </c>
      <c r="K131" s="11">
        <v>0</v>
      </c>
      <c r="L131" s="11">
        <v>0</v>
      </c>
      <c r="M131" s="11">
        <v>5</v>
      </c>
    </row>
    <row r="132" ht="16.5" customHeight="1">
      <c r="A132" s="9">
        <v>3361</v>
      </c>
      <c r="B132" s="9" t="s">
        <v>162</v>
      </c>
      <c r="C132" s="9" t="s">
        <v>25</v>
      </c>
      <c r="D132" s="10">
        <v>45478</v>
      </c>
      <c r="E132" s="9" t="s">
        <v>30</v>
      </c>
      <c r="F132" s="11">
        <v>15</v>
      </c>
      <c r="G132" s="9" t="s">
        <v>27</v>
      </c>
      <c r="H132" s="9" t="s">
        <v>26</v>
      </c>
      <c r="I132" s="11">
        <v>30</v>
      </c>
      <c r="J132" s="9" t="s">
        <v>26</v>
      </c>
      <c r="K132" s="11">
        <v>20</v>
      </c>
      <c r="L132" s="11">
        <v>15</v>
      </c>
      <c r="M132" s="11">
        <v>50</v>
      </c>
    </row>
    <row r="133" ht="16.5" customHeight="1">
      <c r="A133" s="9">
        <v>3362</v>
      </c>
      <c r="B133" s="9" t="s">
        <v>163</v>
      </c>
      <c r="C133" s="9" t="s">
        <v>34</v>
      </c>
      <c r="D133" s="10">
        <v>45479</v>
      </c>
      <c r="E133" s="9" t="s">
        <v>26</v>
      </c>
      <c r="F133" s="11">
        <v>10</v>
      </c>
      <c r="G133" s="9" t="s">
        <v>31</v>
      </c>
      <c r="H133" s="9" t="s">
        <v>30</v>
      </c>
      <c r="I133" s="11" t="s">
        <v>32</v>
      </c>
      <c r="J133" s="9" t="s">
        <v>26</v>
      </c>
      <c r="K133" s="11">
        <v>20</v>
      </c>
      <c r="L133" s="11">
        <v>15</v>
      </c>
      <c r="M133" s="11">
        <v>15</v>
      </c>
    </row>
    <row r="134" ht="16.5" customHeight="1">
      <c r="A134" s="9">
        <v>3363</v>
      </c>
      <c r="B134" s="9" t="s">
        <v>164</v>
      </c>
      <c r="C134" s="9" t="s">
        <v>29</v>
      </c>
      <c r="D134" s="10">
        <v>45480</v>
      </c>
      <c r="E134" s="9" t="s">
        <v>30</v>
      </c>
      <c r="F134" s="11">
        <v>5</v>
      </c>
      <c r="G134" s="9" t="s">
        <v>27</v>
      </c>
      <c r="H134" s="9" t="s">
        <v>30</v>
      </c>
      <c r="I134" s="11" t="s">
        <v>32</v>
      </c>
      <c r="J134" s="9" t="s">
        <v>30</v>
      </c>
      <c r="K134" s="11">
        <v>0</v>
      </c>
      <c r="L134" s="11">
        <v>1</v>
      </c>
      <c r="M134" s="11">
        <v>4</v>
      </c>
    </row>
    <row r="135" ht="16.5" customHeight="1">
      <c r="A135" s="9">
        <v>3364</v>
      </c>
      <c r="B135" s="9" t="s">
        <v>165</v>
      </c>
      <c r="C135" s="9" t="s">
        <v>25</v>
      </c>
      <c r="D135" s="10">
        <v>45481</v>
      </c>
      <c r="E135" s="9" t="s">
        <v>26</v>
      </c>
      <c r="F135" s="11">
        <v>15</v>
      </c>
      <c r="G135" s="9" t="s">
        <v>35</v>
      </c>
      <c r="H135" s="9" t="s">
        <v>26</v>
      </c>
      <c r="I135" s="11">
        <v>30</v>
      </c>
      <c r="J135" s="9" t="s">
        <v>26</v>
      </c>
      <c r="K135" s="11">
        <v>20</v>
      </c>
      <c r="L135" s="11">
        <v>7</v>
      </c>
      <c r="M135" s="11">
        <v>58</v>
      </c>
    </row>
    <row r="136" ht="16.5" customHeight="1">
      <c r="A136" s="9">
        <v>3365</v>
      </c>
      <c r="B136" s="9" t="s">
        <v>166</v>
      </c>
      <c r="C136" s="9" t="s">
        <v>34</v>
      </c>
      <c r="D136" s="10">
        <v>45482</v>
      </c>
      <c r="E136" s="9" t="s">
        <v>30</v>
      </c>
      <c r="F136" s="11">
        <v>10</v>
      </c>
      <c r="G136" s="9" t="s">
        <v>27</v>
      </c>
      <c r="H136" s="9" t="s">
        <v>30</v>
      </c>
      <c r="I136" s="11" t="s">
        <v>32</v>
      </c>
      <c r="J136" s="9" t="s">
        <v>26</v>
      </c>
      <c r="K136" s="11">
        <v>20</v>
      </c>
      <c r="L136" s="11">
        <v>10</v>
      </c>
      <c r="M136" s="11">
        <v>20</v>
      </c>
    </row>
    <row r="137" ht="16.5" customHeight="1">
      <c r="A137" s="9">
        <v>3366</v>
      </c>
      <c r="B137" s="9" t="s">
        <v>167</v>
      </c>
      <c r="C137" s="9" t="s">
        <v>29</v>
      </c>
      <c r="D137" s="10">
        <v>45483</v>
      </c>
      <c r="E137" s="9" t="s">
        <v>26</v>
      </c>
      <c r="F137" s="11">
        <v>5</v>
      </c>
      <c r="G137" s="9" t="s">
        <v>27</v>
      </c>
      <c r="H137" s="9" t="s">
        <v>30</v>
      </c>
      <c r="I137" s="11" t="s">
        <v>32</v>
      </c>
      <c r="J137" s="9" t="s">
        <v>30</v>
      </c>
      <c r="K137" s="11">
        <v>0</v>
      </c>
      <c r="L137" s="11">
        <v>0</v>
      </c>
      <c r="M137" s="11">
        <v>5</v>
      </c>
    </row>
    <row r="138" ht="16.5" customHeight="1">
      <c r="A138" s="9">
        <v>3367</v>
      </c>
      <c r="B138" s="9" t="s">
        <v>168</v>
      </c>
      <c r="C138" s="9" t="s">
        <v>25</v>
      </c>
      <c r="D138" s="10">
        <v>45484</v>
      </c>
      <c r="E138" s="9" t="s">
        <v>30</v>
      </c>
      <c r="F138" s="11">
        <v>15</v>
      </c>
      <c r="G138" s="9" t="s">
        <v>35</v>
      </c>
      <c r="H138" s="9" t="s">
        <v>26</v>
      </c>
      <c r="I138" s="11">
        <v>30</v>
      </c>
      <c r="J138" s="9" t="s">
        <v>26</v>
      </c>
      <c r="K138" s="11">
        <v>20</v>
      </c>
      <c r="L138" s="11">
        <v>7</v>
      </c>
      <c r="M138" s="11">
        <v>58</v>
      </c>
    </row>
    <row r="139" ht="16.5" customHeight="1">
      <c r="A139" s="9">
        <v>3368</v>
      </c>
      <c r="B139" s="9" t="s">
        <v>169</v>
      </c>
      <c r="C139" s="9" t="s">
        <v>34</v>
      </c>
      <c r="D139" s="10">
        <v>45485</v>
      </c>
      <c r="E139" s="9" t="s">
        <v>26</v>
      </c>
      <c r="F139" s="11">
        <v>10</v>
      </c>
      <c r="G139" s="9" t="s">
        <v>31</v>
      </c>
      <c r="H139" s="9" t="s">
        <v>30</v>
      </c>
      <c r="I139" s="11" t="s">
        <v>32</v>
      </c>
      <c r="J139" s="9" t="s">
        <v>26</v>
      </c>
      <c r="K139" s="11">
        <v>20</v>
      </c>
      <c r="L139" s="11">
        <v>10</v>
      </c>
      <c r="M139" s="11">
        <v>20</v>
      </c>
    </row>
    <row r="140" ht="16.5" customHeight="1">
      <c r="A140" s="9">
        <v>3369</v>
      </c>
      <c r="B140" s="9" t="s">
        <v>170</v>
      </c>
      <c r="C140" s="9" t="s">
        <v>29</v>
      </c>
      <c r="D140" s="10">
        <v>45486</v>
      </c>
      <c r="E140" s="9" t="s">
        <v>30</v>
      </c>
      <c r="F140" s="11">
        <v>5</v>
      </c>
      <c r="G140" s="9" t="s">
        <v>35</v>
      </c>
      <c r="H140" s="9" t="s">
        <v>30</v>
      </c>
      <c r="I140" s="11" t="s">
        <v>32</v>
      </c>
      <c r="J140" s="9" t="s">
        <v>30</v>
      </c>
      <c r="K140" s="11">
        <v>0</v>
      </c>
      <c r="L140" s="11">
        <v>1</v>
      </c>
      <c r="M140" s="11">
        <v>4</v>
      </c>
    </row>
    <row r="141" ht="16.5" customHeight="1">
      <c r="A141" s="9">
        <v>3370</v>
      </c>
      <c r="B141" s="9" t="s">
        <v>171</v>
      </c>
      <c r="C141" s="9" t="s">
        <v>25</v>
      </c>
      <c r="D141" s="10">
        <v>45487</v>
      </c>
      <c r="E141" s="9" t="s">
        <v>26</v>
      </c>
      <c r="F141" s="11">
        <v>15</v>
      </c>
      <c r="G141" s="9" t="s">
        <v>27</v>
      </c>
      <c r="H141" s="9" t="s">
        <v>26</v>
      </c>
      <c r="I141" s="11">
        <v>30</v>
      </c>
      <c r="J141" s="9" t="s">
        <v>26</v>
      </c>
      <c r="K141" s="11">
        <v>20</v>
      </c>
      <c r="L141" s="11">
        <v>15</v>
      </c>
      <c r="M141" s="11">
        <v>50</v>
      </c>
    </row>
    <row r="142" ht="16.5" customHeight="1">
      <c r="A142" s="9">
        <v>3371</v>
      </c>
      <c r="B142" s="9" t="s">
        <v>172</v>
      </c>
      <c r="C142" s="9" t="s">
        <v>34</v>
      </c>
      <c r="D142" s="10">
        <v>45488</v>
      </c>
      <c r="E142" s="9" t="s">
        <v>30</v>
      </c>
      <c r="F142" s="11">
        <v>10</v>
      </c>
      <c r="G142" s="9" t="s">
        <v>27</v>
      </c>
      <c r="H142" s="9" t="s">
        <v>30</v>
      </c>
      <c r="I142" s="11" t="s">
        <v>32</v>
      </c>
      <c r="J142" s="9" t="s">
        <v>26</v>
      </c>
      <c r="K142" s="11">
        <v>20</v>
      </c>
      <c r="L142" s="11">
        <v>5</v>
      </c>
      <c r="M142" s="11">
        <v>25</v>
      </c>
    </row>
    <row r="143" ht="16.5" customHeight="1">
      <c r="A143" s="9">
        <v>3372</v>
      </c>
      <c r="B143" s="9" t="s">
        <v>173</v>
      </c>
      <c r="C143" s="9" t="s">
        <v>29</v>
      </c>
      <c r="D143" s="10">
        <v>45489</v>
      </c>
      <c r="E143" s="9" t="s">
        <v>26</v>
      </c>
      <c r="F143" s="11">
        <v>5</v>
      </c>
      <c r="G143" s="9" t="s">
        <v>31</v>
      </c>
      <c r="H143" s="9" t="s">
        <v>30</v>
      </c>
      <c r="I143" s="11" t="s">
        <v>32</v>
      </c>
      <c r="J143" s="9" t="s">
        <v>30</v>
      </c>
      <c r="K143" s="11">
        <v>0</v>
      </c>
      <c r="L143" s="11">
        <v>0</v>
      </c>
      <c r="M143" s="11">
        <v>5</v>
      </c>
    </row>
    <row r="144" ht="16.5" customHeight="1">
      <c r="A144" s="9">
        <v>3373</v>
      </c>
      <c r="B144" s="9" t="s">
        <v>174</v>
      </c>
      <c r="C144" s="9" t="s">
        <v>25</v>
      </c>
      <c r="D144" s="10">
        <v>45490</v>
      </c>
      <c r="E144" s="9" t="s">
        <v>30</v>
      </c>
      <c r="F144" s="11">
        <v>15</v>
      </c>
      <c r="G144" s="9" t="s">
        <v>35</v>
      </c>
      <c r="H144" s="9" t="s">
        <v>26</v>
      </c>
      <c r="I144" s="11">
        <v>30</v>
      </c>
      <c r="J144" s="9" t="s">
        <v>26</v>
      </c>
      <c r="K144" s="11">
        <v>20</v>
      </c>
      <c r="L144" s="11">
        <v>20</v>
      </c>
      <c r="M144" s="11">
        <v>45</v>
      </c>
    </row>
    <row r="145" ht="16.5" customHeight="1">
      <c r="A145" s="9">
        <v>3374</v>
      </c>
      <c r="B145" s="9" t="s">
        <v>175</v>
      </c>
      <c r="C145" s="9" t="s">
        <v>34</v>
      </c>
      <c r="D145" s="10">
        <v>45491</v>
      </c>
      <c r="E145" s="9" t="s">
        <v>26</v>
      </c>
      <c r="F145" s="11">
        <v>10</v>
      </c>
      <c r="G145" s="9" t="s">
        <v>35</v>
      </c>
      <c r="H145" s="9" t="s">
        <v>30</v>
      </c>
      <c r="I145" s="11" t="s">
        <v>32</v>
      </c>
      <c r="J145" s="9" t="s">
        <v>26</v>
      </c>
      <c r="K145" s="11">
        <v>20</v>
      </c>
      <c r="L145" s="11">
        <v>12</v>
      </c>
      <c r="M145" s="11">
        <v>18</v>
      </c>
    </row>
    <row r="146" ht="16.5" customHeight="1">
      <c r="A146" s="9">
        <v>3375</v>
      </c>
      <c r="B146" s="9" t="s">
        <v>176</v>
      </c>
      <c r="C146" s="9" t="s">
        <v>29</v>
      </c>
      <c r="D146" s="10">
        <v>45492</v>
      </c>
      <c r="E146" s="9" t="s">
        <v>30</v>
      </c>
      <c r="F146" s="11">
        <v>5</v>
      </c>
      <c r="G146" s="9" t="s">
        <v>27</v>
      </c>
      <c r="H146" s="9" t="s">
        <v>30</v>
      </c>
      <c r="I146" s="11" t="s">
        <v>32</v>
      </c>
      <c r="J146" s="9" t="s">
        <v>30</v>
      </c>
      <c r="K146" s="11">
        <v>0</v>
      </c>
      <c r="L146" s="11">
        <v>2</v>
      </c>
      <c r="M146" s="11">
        <v>3</v>
      </c>
    </row>
    <row r="147" ht="16.5" customHeight="1">
      <c r="A147" s="9">
        <v>3376</v>
      </c>
      <c r="B147" s="9" t="s">
        <v>177</v>
      </c>
      <c r="C147" s="9" t="s">
        <v>25</v>
      </c>
      <c r="D147" s="10">
        <v>45493</v>
      </c>
      <c r="E147" s="9" t="s">
        <v>26</v>
      </c>
      <c r="F147" s="11">
        <v>15</v>
      </c>
      <c r="G147" s="9" t="s">
        <v>31</v>
      </c>
      <c r="H147" s="9" t="s">
        <v>26</v>
      </c>
      <c r="I147" s="11">
        <v>30</v>
      </c>
      <c r="J147" s="9" t="s">
        <v>26</v>
      </c>
      <c r="K147" s="11">
        <v>20</v>
      </c>
      <c r="L147" s="11">
        <v>5</v>
      </c>
      <c r="M147" s="11">
        <v>60</v>
      </c>
    </row>
    <row r="148" ht="16.5" customHeight="1">
      <c r="A148" s="9">
        <v>3377</v>
      </c>
      <c r="B148" s="9" t="s">
        <v>178</v>
      </c>
      <c r="C148" s="9" t="s">
        <v>34</v>
      </c>
      <c r="D148" s="10">
        <v>45494</v>
      </c>
      <c r="E148" s="9" t="s">
        <v>30</v>
      </c>
      <c r="F148" s="11">
        <v>10</v>
      </c>
      <c r="G148" s="9" t="s">
        <v>27</v>
      </c>
      <c r="H148" s="9" t="s">
        <v>30</v>
      </c>
      <c r="I148" s="11" t="s">
        <v>32</v>
      </c>
      <c r="J148" s="9" t="s">
        <v>26</v>
      </c>
      <c r="K148" s="11">
        <v>20</v>
      </c>
      <c r="L148" s="11">
        <v>10</v>
      </c>
      <c r="M148" s="11">
        <v>20</v>
      </c>
    </row>
    <row r="149" ht="16.5" customHeight="1">
      <c r="A149" s="9">
        <v>3378</v>
      </c>
      <c r="B149" s="9" t="s">
        <v>179</v>
      </c>
      <c r="C149" s="9" t="s">
        <v>29</v>
      </c>
      <c r="D149" s="10">
        <v>45495</v>
      </c>
      <c r="E149" s="9" t="s">
        <v>26</v>
      </c>
      <c r="F149" s="11">
        <v>5</v>
      </c>
      <c r="G149" s="9" t="s">
        <v>35</v>
      </c>
      <c r="H149" s="9" t="s">
        <v>30</v>
      </c>
      <c r="I149" s="11" t="s">
        <v>32</v>
      </c>
      <c r="J149" s="9" t="s">
        <v>30</v>
      </c>
      <c r="K149" s="11">
        <v>0</v>
      </c>
      <c r="L149" s="11">
        <v>0</v>
      </c>
      <c r="M149" s="11">
        <v>5</v>
      </c>
    </row>
    <row r="150" ht="16.5" customHeight="1">
      <c r="A150" s="9">
        <v>3379</v>
      </c>
      <c r="B150" s="9" t="s">
        <v>180</v>
      </c>
      <c r="C150" s="9" t="s">
        <v>25</v>
      </c>
      <c r="D150" s="10">
        <v>45496</v>
      </c>
      <c r="E150" s="9" t="s">
        <v>30</v>
      </c>
      <c r="F150" s="11">
        <v>15</v>
      </c>
      <c r="G150" s="9" t="s">
        <v>27</v>
      </c>
      <c r="H150" s="9" t="s">
        <v>26</v>
      </c>
      <c r="I150" s="11">
        <v>30</v>
      </c>
      <c r="J150" s="9" t="s">
        <v>26</v>
      </c>
      <c r="K150" s="11">
        <v>20</v>
      </c>
      <c r="L150" s="11">
        <v>3</v>
      </c>
      <c r="M150" s="11">
        <v>62</v>
      </c>
    </row>
    <row r="151" ht="16.5" customHeight="1">
      <c r="A151" s="9">
        <v>3380</v>
      </c>
      <c r="B151" s="9" t="s">
        <v>181</v>
      </c>
      <c r="C151" s="9" t="s">
        <v>34</v>
      </c>
      <c r="D151" s="10">
        <v>45497</v>
      </c>
      <c r="E151" s="9" t="s">
        <v>26</v>
      </c>
      <c r="F151" s="11">
        <v>10</v>
      </c>
      <c r="G151" s="9" t="s">
        <v>31</v>
      </c>
      <c r="H151" s="9" t="s">
        <v>30</v>
      </c>
      <c r="I151" s="11" t="s">
        <v>32</v>
      </c>
      <c r="J151" s="9" t="s">
        <v>26</v>
      </c>
      <c r="K151" s="11">
        <v>20</v>
      </c>
      <c r="L151" s="11">
        <v>15</v>
      </c>
      <c r="M151" s="11">
        <v>15</v>
      </c>
    </row>
    <row r="152" ht="16.5" customHeight="1">
      <c r="A152" s="9">
        <v>3381</v>
      </c>
      <c r="B152" s="9" t="s">
        <v>182</v>
      </c>
      <c r="C152" s="9" t="s">
        <v>29</v>
      </c>
      <c r="D152" s="10">
        <v>45498</v>
      </c>
      <c r="E152" s="9" t="s">
        <v>30</v>
      </c>
      <c r="F152" s="11">
        <v>5</v>
      </c>
      <c r="G152" s="9" t="s">
        <v>27</v>
      </c>
      <c r="H152" s="9" t="s">
        <v>30</v>
      </c>
      <c r="I152" s="11" t="s">
        <v>32</v>
      </c>
      <c r="J152" s="9" t="s">
        <v>30</v>
      </c>
      <c r="K152" s="11">
        <v>0</v>
      </c>
      <c r="L152" s="11">
        <v>1</v>
      </c>
      <c r="M152" s="11">
        <v>4</v>
      </c>
    </row>
    <row r="153" ht="16.5" customHeight="1">
      <c r="A153" s="9">
        <v>3382</v>
      </c>
      <c r="B153" s="9" t="s">
        <v>183</v>
      </c>
      <c r="C153" s="9" t="s">
        <v>25</v>
      </c>
      <c r="D153" s="10">
        <v>45499</v>
      </c>
      <c r="E153" s="9" t="s">
        <v>26</v>
      </c>
      <c r="F153" s="11">
        <v>15</v>
      </c>
      <c r="G153" s="9" t="s">
        <v>35</v>
      </c>
      <c r="H153" s="9" t="s">
        <v>26</v>
      </c>
      <c r="I153" s="11">
        <v>30</v>
      </c>
      <c r="J153" s="9" t="s">
        <v>26</v>
      </c>
      <c r="K153" s="11">
        <v>20</v>
      </c>
      <c r="L153" s="11">
        <v>7</v>
      </c>
      <c r="M153" s="11">
        <v>58</v>
      </c>
    </row>
    <row r="154" ht="16.5" customHeight="1">
      <c r="A154" s="9">
        <v>3383</v>
      </c>
      <c r="B154" s="9" t="s">
        <v>184</v>
      </c>
      <c r="C154" s="9" t="s">
        <v>34</v>
      </c>
      <c r="D154" s="10">
        <v>45500</v>
      </c>
      <c r="E154" s="9" t="s">
        <v>30</v>
      </c>
      <c r="F154" s="11">
        <v>10</v>
      </c>
      <c r="G154" s="9" t="s">
        <v>27</v>
      </c>
      <c r="H154" s="9" t="s">
        <v>30</v>
      </c>
      <c r="I154" s="11" t="s">
        <v>32</v>
      </c>
      <c r="J154" s="9" t="s">
        <v>26</v>
      </c>
      <c r="K154" s="11">
        <v>20</v>
      </c>
      <c r="L154" s="11">
        <v>10</v>
      </c>
      <c r="M154" s="11">
        <v>20</v>
      </c>
    </row>
    <row r="155" ht="16.5" customHeight="1">
      <c r="A155" s="9">
        <v>3384</v>
      </c>
      <c r="B155" s="9" t="s">
        <v>185</v>
      </c>
      <c r="C155" s="9" t="s">
        <v>29</v>
      </c>
      <c r="D155" s="10">
        <v>45501</v>
      </c>
      <c r="E155" s="9" t="s">
        <v>26</v>
      </c>
      <c r="F155" s="11">
        <v>5</v>
      </c>
      <c r="G155" s="9" t="s">
        <v>31</v>
      </c>
      <c r="H155" s="9" t="s">
        <v>30</v>
      </c>
      <c r="I155" s="11" t="s">
        <v>32</v>
      </c>
      <c r="J155" s="9" t="s">
        <v>30</v>
      </c>
      <c r="K155" s="11">
        <v>0</v>
      </c>
      <c r="L155" s="11">
        <v>0</v>
      </c>
      <c r="M155" s="11">
        <v>5</v>
      </c>
    </row>
    <row r="156" ht="16.5" customHeight="1">
      <c r="A156" s="9">
        <v>3385</v>
      </c>
      <c r="B156" s="9" t="s">
        <v>186</v>
      </c>
      <c r="C156" s="9" t="s">
        <v>25</v>
      </c>
      <c r="D156" s="10">
        <v>45502</v>
      </c>
      <c r="E156" s="9" t="s">
        <v>30</v>
      </c>
      <c r="F156" s="11">
        <v>15</v>
      </c>
      <c r="G156" s="9" t="s">
        <v>27</v>
      </c>
      <c r="H156" s="9" t="s">
        <v>26</v>
      </c>
      <c r="I156" s="11">
        <v>30</v>
      </c>
      <c r="J156" s="9" t="s">
        <v>26</v>
      </c>
      <c r="K156" s="11">
        <v>20</v>
      </c>
      <c r="L156" s="11">
        <v>20</v>
      </c>
      <c r="M156" s="11">
        <v>45</v>
      </c>
    </row>
    <row r="157" ht="16.5" customHeight="1">
      <c r="A157" s="9">
        <v>3386</v>
      </c>
      <c r="B157" s="9" t="s">
        <v>187</v>
      </c>
      <c r="C157" s="9" t="s">
        <v>34</v>
      </c>
      <c r="D157" s="10">
        <v>45503</v>
      </c>
      <c r="E157" s="9" t="s">
        <v>26</v>
      </c>
      <c r="F157" s="11">
        <v>10</v>
      </c>
      <c r="G157" s="9" t="s">
        <v>35</v>
      </c>
      <c r="H157" s="9" t="s">
        <v>30</v>
      </c>
      <c r="I157" s="11" t="s">
        <v>32</v>
      </c>
      <c r="J157" s="9" t="s">
        <v>26</v>
      </c>
      <c r="K157" s="11">
        <v>20</v>
      </c>
      <c r="L157" s="11">
        <v>15</v>
      </c>
      <c r="M157" s="11">
        <v>15</v>
      </c>
    </row>
    <row r="158" ht="16.5" customHeight="1">
      <c r="A158" s="9">
        <v>3387</v>
      </c>
      <c r="B158" s="9" t="s">
        <v>188</v>
      </c>
      <c r="C158" s="9" t="s">
        <v>29</v>
      </c>
      <c r="D158" s="10">
        <v>45504</v>
      </c>
      <c r="E158" s="9" t="s">
        <v>30</v>
      </c>
      <c r="F158" s="11">
        <v>5</v>
      </c>
      <c r="G158" s="9" t="s">
        <v>27</v>
      </c>
      <c r="H158" s="9" t="s">
        <v>30</v>
      </c>
      <c r="I158" s="11" t="s">
        <v>32</v>
      </c>
      <c r="J158" s="9" t="s">
        <v>30</v>
      </c>
      <c r="K158" s="11">
        <v>0</v>
      </c>
      <c r="L158" s="11">
        <v>1</v>
      </c>
      <c r="M158" s="11">
        <v>4</v>
      </c>
    </row>
    <row r="159" ht="16.5" customHeight="1">
      <c r="A159" s="9">
        <v>3388</v>
      </c>
      <c r="B159" s="9" t="s">
        <v>189</v>
      </c>
      <c r="C159" s="9" t="s">
        <v>25</v>
      </c>
      <c r="D159" s="10">
        <v>45505</v>
      </c>
      <c r="E159" s="9" t="s">
        <v>26</v>
      </c>
      <c r="F159" s="11">
        <v>15</v>
      </c>
      <c r="G159" s="9" t="s">
        <v>31</v>
      </c>
      <c r="H159" s="9" t="s">
        <v>26</v>
      </c>
      <c r="I159" s="11">
        <v>30</v>
      </c>
      <c r="J159" s="9" t="s">
        <v>26</v>
      </c>
      <c r="K159" s="11">
        <v>20</v>
      </c>
      <c r="L159" s="11">
        <v>3</v>
      </c>
      <c r="M159" s="11">
        <v>62</v>
      </c>
    </row>
    <row r="160" ht="16.5" customHeight="1">
      <c r="A160" s="9">
        <v>3389</v>
      </c>
      <c r="B160" s="9" t="s">
        <v>190</v>
      </c>
      <c r="C160" s="9" t="s">
        <v>34</v>
      </c>
      <c r="D160" s="10">
        <v>45506</v>
      </c>
      <c r="E160" s="9" t="s">
        <v>30</v>
      </c>
      <c r="F160" s="11">
        <v>10</v>
      </c>
      <c r="G160" s="9" t="s">
        <v>27</v>
      </c>
      <c r="H160" s="9" t="s">
        <v>30</v>
      </c>
      <c r="I160" s="11" t="s">
        <v>32</v>
      </c>
      <c r="J160" s="9" t="s">
        <v>26</v>
      </c>
      <c r="K160" s="11">
        <v>20</v>
      </c>
      <c r="L160" s="11">
        <v>10</v>
      </c>
      <c r="M160" s="11">
        <v>20</v>
      </c>
    </row>
    <row r="161" ht="16.5" customHeight="1">
      <c r="A161" s="9">
        <v>3390</v>
      </c>
      <c r="B161" s="9" t="s">
        <v>191</v>
      </c>
      <c r="C161" s="9" t="s">
        <v>29</v>
      </c>
      <c r="D161" s="10">
        <v>45507</v>
      </c>
      <c r="E161" s="9" t="s">
        <v>26</v>
      </c>
      <c r="F161" s="11">
        <v>5</v>
      </c>
      <c r="G161" s="9" t="s">
        <v>35</v>
      </c>
      <c r="H161" s="9" t="s">
        <v>30</v>
      </c>
      <c r="I161" s="11" t="s">
        <v>32</v>
      </c>
      <c r="J161" s="9" t="s">
        <v>30</v>
      </c>
      <c r="K161" s="11">
        <v>0</v>
      </c>
      <c r="L161" s="11">
        <v>0</v>
      </c>
      <c r="M161" s="11">
        <v>5</v>
      </c>
    </row>
    <row r="162" ht="16.5" customHeight="1">
      <c r="A162" s="9">
        <v>3391</v>
      </c>
      <c r="B162" s="9" t="s">
        <v>91</v>
      </c>
      <c r="C162" s="9" t="s">
        <v>25</v>
      </c>
      <c r="D162" s="10">
        <v>45508</v>
      </c>
      <c r="E162" s="9" t="s">
        <v>30</v>
      </c>
      <c r="F162" s="11">
        <v>15</v>
      </c>
      <c r="G162" s="9" t="s">
        <v>27</v>
      </c>
      <c r="H162" s="9" t="s">
        <v>26</v>
      </c>
      <c r="I162" s="11">
        <v>30</v>
      </c>
      <c r="J162" s="9" t="s">
        <v>26</v>
      </c>
      <c r="K162" s="11">
        <v>20</v>
      </c>
      <c r="L162" s="11">
        <v>15</v>
      </c>
      <c r="M162" s="11">
        <v>50</v>
      </c>
    </row>
    <row r="163" ht="16.5" customHeight="1">
      <c r="A163" s="9">
        <v>3392</v>
      </c>
      <c r="B163" s="9" t="s">
        <v>192</v>
      </c>
      <c r="C163" s="9" t="s">
        <v>34</v>
      </c>
      <c r="D163" s="10">
        <v>45509</v>
      </c>
      <c r="E163" s="9" t="s">
        <v>26</v>
      </c>
      <c r="F163" s="11">
        <v>10</v>
      </c>
      <c r="G163" s="9" t="s">
        <v>31</v>
      </c>
      <c r="H163" s="9" t="s">
        <v>30</v>
      </c>
      <c r="I163" s="11" t="s">
        <v>32</v>
      </c>
      <c r="J163" s="9" t="s">
        <v>26</v>
      </c>
      <c r="K163" s="11">
        <v>20</v>
      </c>
      <c r="L163" s="11">
        <v>15</v>
      </c>
      <c r="M163" s="11">
        <v>15</v>
      </c>
    </row>
    <row r="164" ht="16.5" customHeight="1">
      <c r="A164" s="9">
        <v>3393</v>
      </c>
      <c r="B164" s="9" t="s">
        <v>193</v>
      </c>
      <c r="C164" s="9" t="s">
        <v>29</v>
      </c>
      <c r="D164" s="10">
        <v>45510</v>
      </c>
      <c r="E164" s="9" t="s">
        <v>30</v>
      </c>
      <c r="F164" s="11">
        <v>5</v>
      </c>
      <c r="G164" s="9" t="s">
        <v>27</v>
      </c>
      <c r="H164" s="9" t="s">
        <v>30</v>
      </c>
      <c r="I164" s="11" t="s">
        <v>32</v>
      </c>
      <c r="J164" s="9" t="s">
        <v>30</v>
      </c>
      <c r="K164" s="11">
        <v>0</v>
      </c>
      <c r="L164" s="11">
        <v>1</v>
      </c>
      <c r="M164" s="11">
        <v>4</v>
      </c>
    </row>
    <row r="165" ht="16.5" customHeight="1">
      <c r="A165" s="9">
        <v>3394</v>
      </c>
      <c r="B165" s="9" t="s">
        <v>194</v>
      </c>
      <c r="C165" s="9" t="s">
        <v>25</v>
      </c>
      <c r="D165" s="10">
        <v>45511</v>
      </c>
      <c r="E165" s="9" t="s">
        <v>26</v>
      </c>
      <c r="F165" s="11">
        <v>15</v>
      </c>
      <c r="G165" s="9" t="s">
        <v>35</v>
      </c>
      <c r="H165" s="9" t="s">
        <v>26</v>
      </c>
      <c r="I165" s="11">
        <v>30</v>
      </c>
      <c r="J165" s="9" t="s">
        <v>26</v>
      </c>
      <c r="K165" s="11">
        <v>20</v>
      </c>
      <c r="L165" s="11">
        <v>7</v>
      </c>
      <c r="M165" s="11">
        <v>58</v>
      </c>
    </row>
    <row r="166" ht="16.5" customHeight="1">
      <c r="A166" s="9">
        <v>3395</v>
      </c>
      <c r="B166" s="9" t="s">
        <v>195</v>
      </c>
      <c r="C166" s="9" t="s">
        <v>34</v>
      </c>
      <c r="D166" s="10">
        <v>45512</v>
      </c>
      <c r="E166" s="9" t="s">
        <v>30</v>
      </c>
      <c r="F166" s="11">
        <v>10</v>
      </c>
      <c r="G166" s="9" t="s">
        <v>27</v>
      </c>
      <c r="H166" s="9" t="s">
        <v>30</v>
      </c>
      <c r="I166" s="11" t="s">
        <v>32</v>
      </c>
      <c r="J166" s="9" t="s">
        <v>26</v>
      </c>
      <c r="K166" s="11">
        <v>20</v>
      </c>
      <c r="L166" s="11">
        <v>10</v>
      </c>
      <c r="M166" s="11">
        <v>20</v>
      </c>
    </row>
    <row r="167" ht="16.5" customHeight="1">
      <c r="A167" s="9">
        <v>3396</v>
      </c>
      <c r="B167" s="9" t="s">
        <v>196</v>
      </c>
      <c r="C167" s="9" t="s">
        <v>29</v>
      </c>
      <c r="D167" s="10">
        <v>45513</v>
      </c>
      <c r="E167" s="9" t="s">
        <v>26</v>
      </c>
      <c r="F167" s="11">
        <v>5</v>
      </c>
      <c r="G167" s="9" t="s">
        <v>31</v>
      </c>
      <c r="H167" s="9" t="s">
        <v>30</v>
      </c>
      <c r="I167" s="11" t="s">
        <v>32</v>
      </c>
      <c r="J167" s="9" t="s">
        <v>30</v>
      </c>
      <c r="K167" s="11">
        <v>0</v>
      </c>
      <c r="L167" s="11">
        <v>0</v>
      </c>
      <c r="M167" s="11">
        <v>5</v>
      </c>
    </row>
    <row r="168" ht="16.5" customHeight="1">
      <c r="A168" s="9">
        <v>3397</v>
      </c>
      <c r="B168" s="9" t="s">
        <v>123</v>
      </c>
      <c r="C168" s="9" t="s">
        <v>25</v>
      </c>
      <c r="D168" s="10">
        <v>45514</v>
      </c>
      <c r="E168" s="9" t="s">
        <v>30</v>
      </c>
      <c r="F168" s="11">
        <v>15</v>
      </c>
      <c r="G168" s="9" t="s">
        <v>27</v>
      </c>
      <c r="H168" s="9" t="s">
        <v>26</v>
      </c>
      <c r="I168" s="11">
        <v>30</v>
      </c>
      <c r="J168" s="9" t="s">
        <v>26</v>
      </c>
      <c r="K168" s="11">
        <v>20</v>
      </c>
      <c r="L168" s="11">
        <v>20</v>
      </c>
      <c r="M168" s="11">
        <v>45</v>
      </c>
    </row>
    <row r="169" ht="16.5" customHeight="1">
      <c r="A169" s="9">
        <v>3398</v>
      </c>
      <c r="B169" s="9" t="s">
        <v>197</v>
      </c>
      <c r="C169" s="9" t="s">
        <v>34</v>
      </c>
      <c r="D169" s="10">
        <v>45515</v>
      </c>
      <c r="E169" s="9" t="s">
        <v>26</v>
      </c>
      <c r="F169" s="11">
        <v>10</v>
      </c>
      <c r="G169" s="9" t="s">
        <v>35</v>
      </c>
      <c r="H169" s="9" t="s">
        <v>30</v>
      </c>
      <c r="I169" s="11" t="s">
        <v>32</v>
      </c>
      <c r="J169" s="9" t="s">
        <v>26</v>
      </c>
      <c r="K169" s="11">
        <v>20</v>
      </c>
      <c r="L169" s="11">
        <v>15</v>
      </c>
      <c r="M169" s="11">
        <v>15</v>
      </c>
    </row>
    <row r="170" ht="16.5" customHeight="1">
      <c r="A170" s="9">
        <v>3399</v>
      </c>
      <c r="B170" s="9" t="s">
        <v>198</v>
      </c>
      <c r="C170" s="9" t="s">
        <v>29</v>
      </c>
      <c r="D170" s="10">
        <v>45516</v>
      </c>
      <c r="E170" s="9" t="s">
        <v>30</v>
      </c>
      <c r="F170" s="11">
        <v>5</v>
      </c>
      <c r="G170" s="9" t="s">
        <v>27</v>
      </c>
      <c r="H170" s="9" t="s">
        <v>30</v>
      </c>
      <c r="I170" s="11" t="s">
        <v>32</v>
      </c>
      <c r="J170" s="9" t="s">
        <v>30</v>
      </c>
      <c r="K170" s="11">
        <v>0</v>
      </c>
      <c r="L170" s="11">
        <v>1</v>
      </c>
      <c r="M170" s="11">
        <v>4</v>
      </c>
    </row>
    <row r="171" ht="16.5" customHeight="1">
      <c r="A171" s="9">
        <v>3400</v>
      </c>
      <c r="B171" s="9" t="s">
        <v>199</v>
      </c>
      <c r="C171" s="9" t="s">
        <v>25</v>
      </c>
      <c r="D171" s="10">
        <v>45517</v>
      </c>
      <c r="E171" s="9" t="s">
        <v>26</v>
      </c>
      <c r="F171" s="11">
        <v>15</v>
      </c>
      <c r="G171" s="9" t="s">
        <v>31</v>
      </c>
      <c r="H171" s="9" t="s">
        <v>26</v>
      </c>
      <c r="I171" s="11">
        <v>30</v>
      </c>
      <c r="J171" s="9" t="s">
        <v>26</v>
      </c>
      <c r="K171" s="11">
        <v>20</v>
      </c>
      <c r="L171" s="11">
        <v>5</v>
      </c>
      <c r="M171" s="11">
        <v>60</v>
      </c>
    </row>
    <row r="172" ht="16.5" customHeight="1">
      <c r="A172" s="9">
        <v>3401</v>
      </c>
      <c r="B172" s="9" t="s">
        <v>200</v>
      </c>
      <c r="C172" s="9" t="s">
        <v>34</v>
      </c>
      <c r="D172" s="10">
        <v>45518</v>
      </c>
      <c r="E172" s="9" t="s">
        <v>30</v>
      </c>
      <c r="F172" s="11">
        <v>10</v>
      </c>
      <c r="G172" s="9" t="s">
        <v>27</v>
      </c>
      <c r="H172" s="9" t="s">
        <v>30</v>
      </c>
      <c r="I172" s="11" t="s">
        <v>32</v>
      </c>
      <c r="J172" s="9" t="s">
        <v>26</v>
      </c>
      <c r="K172" s="11">
        <v>20</v>
      </c>
      <c r="L172" s="11">
        <v>10</v>
      </c>
      <c r="M172" s="11">
        <v>20</v>
      </c>
    </row>
    <row r="173" ht="16.5" customHeight="1">
      <c r="A173" s="9">
        <v>3402</v>
      </c>
      <c r="B173" s="9" t="s">
        <v>201</v>
      </c>
      <c r="C173" s="9" t="s">
        <v>29</v>
      </c>
      <c r="D173" s="10">
        <v>45519</v>
      </c>
      <c r="E173" s="9" t="s">
        <v>26</v>
      </c>
      <c r="F173" s="11">
        <v>5</v>
      </c>
      <c r="G173" s="9" t="s">
        <v>35</v>
      </c>
      <c r="H173" s="9" t="s">
        <v>30</v>
      </c>
      <c r="I173" s="11" t="s">
        <v>32</v>
      </c>
      <c r="J173" s="9" t="s">
        <v>30</v>
      </c>
      <c r="K173" s="11">
        <v>0</v>
      </c>
      <c r="L173" s="11">
        <v>0</v>
      </c>
      <c r="M173" s="11">
        <v>5</v>
      </c>
    </row>
    <row r="174" ht="16.5" customHeight="1">
      <c r="A174" s="9">
        <v>3403</v>
      </c>
      <c r="B174" s="9" t="s">
        <v>202</v>
      </c>
      <c r="C174" s="9" t="s">
        <v>25</v>
      </c>
      <c r="D174" s="10">
        <v>45520</v>
      </c>
      <c r="E174" s="9" t="s">
        <v>30</v>
      </c>
      <c r="F174" s="11">
        <v>15</v>
      </c>
      <c r="G174" s="9" t="s">
        <v>27</v>
      </c>
      <c r="H174" s="9" t="s">
        <v>26</v>
      </c>
      <c r="I174" s="11">
        <v>30</v>
      </c>
      <c r="J174" s="9" t="s">
        <v>26</v>
      </c>
      <c r="K174" s="11">
        <v>20</v>
      </c>
      <c r="L174" s="11">
        <v>3</v>
      </c>
      <c r="M174" s="11">
        <v>62</v>
      </c>
    </row>
    <row r="175" ht="16.5" customHeight="1">
      <c r="A175" s="9">
        <v>3404</v>
      </c>
      <c r="B175" s="9" t="s">
        <v>203</v>
      </c>
      <c r="C175" s="9" t="s">
        <v>34</v>
      </c>
      <c r="D175" s="10">
        <v>45521</v>
      </c>
      <c r="E175" s="9" t="s">
        <v>26</v>
      </c>
      <c r="F175" s="11">
        <v>10</v>
      </c>
      <c r="G175" s="9" t="s">
        <v>31</v>
      </c>
      <c r="H175" s="9" t="s">
        <v>30</v>
      </c>
      <c r="I175" s="11" t="s">
        <v>32</v>
      </c>
      <c r="J175" s="9" t="s">
        <v>26</v>
      </c>
      <c r="K175" s="11">
        <v>20</v>
      </c>
      <c r="L175" s="11">
        <v>15</v>
      </c>
      <c r="M175" s="11">
        <v>15</v>
      </c>
    </row>
    <row r="176" ht="16.5" customHeight="1">
      <c r="A176" s="9">
        <v>3405</v>
      </c>
      <c r="B176" s="9" t="s">
        <v>204</v>
      </c>
      <c r="C176" s="9" t="s">
        <v>29</v>
      </c>
      <c r="D176" s="10">
        <v>45522</v>
      </c>
      <c r="E176" s="9" t="s">
        <v>30</v>
      </c>
      <c r="F176" s="11">
        <v>5</v>
      </c>
      <c r="G176" s="9" t="s">
        <v>27</v>
      </c>
      <c r="H176" s="9" t="s">
        <v>30</v>
      </c>
      <c r="I176" s="11" t="s">
        <v>32</v>
      </c>
      <c r="J176" s="9" t="s">
        <v>30</v>
      </c>
      <c r="K176" s="11">
        <v>0</v>
      </c>
      <c r="L176" s="11">
        <v>1</v>
      </c>
      <c r="M176" s="11">
        <v>4</v>
      </c>
    </row>
    <row r="177" ht="16.5" customHeight="1">
      <c r="A177" s="9">
        <v>3406</v>
      </c>
      <c r="B177" s="9" t="s">
        <v>205</v>
      </c>
      <c r="C177" s="9" t="s">
        <v>29</v>
      </c>
      <c r="D177" s="10">
        <v>45523</v>
      </c>
      <c r="E177" s="9" t="s">
        <v>26</v>
      </c>
      <c r="F177" s="11">
        <v>5</v>
      </c>
      <c r="G177" s="9" t="s">
        <v>27</v>
      </c>
      <c r="H177" s="9" t="s">
        <v>30</v>
      </c>
      <c r="I177" s="11" t="s">
        <v>32</v>
      </c>
      <c r="J177" s="9" t="s">
        <v>30</v>
      </c>
      <c r="K177" s="11">
        <v>0</v>
      </c>
      <c r="L177" s="11">
        <v>0</v>
      </c>
      <c r="M177" s="11">
        <v>5</v>
      </c>
    </row>
    <row r="178" ht="16.5" customHeight="1">
      <c r="A178" s="9">
        <v>3407</v>
      </c>
      <c r="B178" s="9" t="s">
        <v>206</v>
      </c>
      <c r="C178" s="9" t="s">
        <v>25</v>
      </c>
      <c r="D178" s="10">
        <v>45524</v>
      </c>
      <c r="E178" s="9" t="s">
        <v>30</v>
      </c>
      <c r="F178" s="11">
        <v>15</v>
      </c>
      <c r="G178" s="9" t="s">
        <v>35</v>
      </c>
      <c r="H178" s="9" t="s">
        <v>26</v>
      </c>
      <c r="I178" s="11">
        <v>30</v>
      </c>
      <c r="J178" s="9" t="s">
        <v>26</v>
      </c>
      <c r="K178" s="11">
        <v>20</v>
      </c>
      <c r="L178" s="11">
        <v>7</v>
      </c>
      <c r="M178" s="11">
        <v>58</v>
      </c>
    </row>
    <row r="179" ht="16.5" customHeight="1">
      <c r="A179" s="9">
        <v>3408</v>
      </c>
      <c r="B179" s="9" t="s">
        <v>207</v>
      </c>
      <c r="C179" s="9" t="s">
        <v>34</v>
      </c>
      <c r="D179" s="10">
        <v>45525</v>
      </c>
      <c r="E179" s="9" t="s">
        <v>26</v>
      </c>
      <c r="F179" s="11">
        <v>10</v>
      </c>
      <c r="G179" s="9" t="s">
        <v>31</v>
      </c>
      <c r="H179" s="9" t="s">
        <v>30</v>
      </c>
      <c r="I179" s="11" t="s">
        <v>32</v>
      </c>
      <c r="J179" s="9" t="s">
        <v>26</v>
      </c>
      <c r="K179" s="11">
        <v>20</v>
      </c>
      <c r="L179" s="11">
        <v>10</v>
      </c>
      <c r="M179" s="11">
        <v>20</v>
      </c>
    </row>
    <row r="180" ht="16.5" customHeight="1">
      <c r="A180" s="9">
        <v>3409</v>
      </c>
      <c r="B180" s="9" t="s">
        <v>208</v>
      </c>
      <c r="C180" s="9" t="s">
        <v>29</v>
      </c>
      <c r="D180" s="10">
        <v>45526</v>
      </c>
      <c r="E180" s="9" t="s">
        <v>30</v>
      </c>
      <c r="F180" s="11">
        <v>5</v>
      </c>
      <c r="G180" s="9" t="s">
        <v>35</v>
      </c>
      <c r="H180" s="9" t="s">
        <v>30</v>
      </c>
      <c r="I180" s="11" t="s">
        <v>32</v>
      </c>
      <c r="J180" s="9" t="s">
        <v>30</v>
      </c>
      <c r="K180" s="11">
        <v>0</v>
      </c>
      <c r="L180" s="11">
        <v>1</v>
      </c>
      <c r="M180" s="11">
        <v>4</v>
      </c>
    </row>
    <row r="181" ht="16.5" customHeight="1">
      <c r="A181" s="9">
        <v>3410</v>
      </c>
      <c r="B181" s="9" t="s">
        <v>209</v>
      </c>
      <c r="C181" s="9" t="s">
        <v>25</v>
      </c>
      <c r="D181" s="10">
        <v>45527</v>
      </c>
      <c r="E181" s="9" t="s">
        <v>26</v>
      </c>
      <c r="F181" s="11">
        <v>15</v>
      </c>
      <c r="G181" s="9" t="s">
        <v>27</v>
      </c>
      <c r="H181" s="9" t="s">
        <v>26</v>
      </c>
      <c r="I181" s="11">
        <v>30</v>
      </c>
      <c r="J181" s="9" t="s">
        <v>26</v>
      </c>
      <c r="K181" s="11">
        <v>20</v>
      </c>
      <c r="L181" s="11">
        <v>15</v>
      </c>
      <c r="M181" s="11">
        <v>50</v>
      </c>
    </row>
    <row r="182" ht="16.5" customHeight="1">
      <c r="A182" s="9">
        <v>3411</v>
      </c>
      <c r="B182" s="9" t="s">
        <v>210</v>
      </c>
      <c r="C182" s="9" t="s">
        <v>34</v>
      </c>
      <c r="D182" s="10">
        <v>45528</v>
      </c>
      <c r="E182" s="9" t="s">
        <v>30</v>
      </c>
      <c r="F182" s="11">
        <v>10</v>
      </c>
      <c r="G182" s="9" t="s">
        <v>27</v>
      </c>
      <c r="H182" s="9" t="s">
        <v>30</v>
      </c>
      <c r="I182" s="11" t="s">
        <v>32</v>
      </c>
      <c r="J182" s="9" t="s">
        <v>26</v>
      </c>
      <c r="K182" s="11">
        <v>20</v>
      </c>
      <c r="L182" s="11">
        <v>5</v>
      </c>
      <c r="M182" s="11">
        <v>25</v>
      </c>
    </row>
    <row r="183" ht="16.5" customHeight="1">
      <c r="A183" s="9">
        <v>3412</v>
      </c>
      <c r="B183" s="9" t="s">
        <v>211</v>
      </c>
      <c r="C183" s="9" t="s">
        <v>29</v>
      </c>
      <c r="D183" s="10">
        <v>45529</v>
      </c>
      <c r="E183" s="9" t="s">
        <v>26</v>
      </c>
      <c r="F183" s="11">
        <v>5</v>
      </c>
      <c r="G183" s="9" t="s">
        <v>31</v>
      </c>
      <c r="H183" s="9" t="s">
        <v>30</v>
      </c>
      <c r="I183" s="11" t="s">
        <v>32</v>
      </c>
      <c r="J183" s="9" t="s">
        <v>30</v>
      </c>
      <c r="K183" s="11">
        <v>0</v>
      </c>
      <c r="L183" s="11">
        <v>0</v>
      </c>
      <c r="M183" s="11">
        <v>5</v>
      </c>
    </row>
    <row r="184" ht="16.5" customHeight="1">
      <c r="A184" s="9">
        <v>3413</v>
      </c>
      <c r="B184" s="9" t="s">
        <v>212</v>
      </c>
      <c r="C184" s="9" t="s">
        <v>25</v>
      </c>
      <c r="D184" s="10">
        <v>45530</v>
      </c>
      <c r="E184" s="9" t="s">
        <v>30</v>
      </c>
      <c r="F184" s="11">
        <v>15</v>
      </c>
      <c r="G184" s="9" t="s">
        <v>35</v>
      </c>
      <c r="H184" s="9" t="s">
        <v>26</v>
      </c>
      <c r="I184" s="11">
        <v>30</v>
      </c>
      <c r="J184" s="9" t="s">
        <v>26</v>
      </c>
      <c r="K184" s="11">
        <v>20</v>
      </c>
      <c r="L184" s="11">
        <v>20</v>
      </c>
      <c r="M184" s="11">
        <v>45</v>
      </c>
    </row>
    <row r="185" ht="16.5" customHeight="1">
      <c r="A185" s="9">
        <v>3414</v>
      </c>
      <c r="B185" s="9" t="s">
        <v>213</v>
      </c>
      <c r="C185" s="9" t="s">
        <v>34</v>
      </c>
      <c r="D185" s="10">
        <v>45531</v>
      </c>
      <c r="E185" s="9" t="s">
        <v>26</v>
      </c>
      <c r="F185" s="11">
        <v>10</v>
      </c>
      <c r="G185" s="9" t="s">
        <v>35</v>
      </c>
      <c r="H185" s="9" t="s">
        <v>30</v>
      </c>
      <c r="I185" s="11" t="s">
        <v>32</v>
      </c>
      <c r="J185" s="9" t="s">
        <v>26</v>
      </c>
      <c r="K185" s="11">
        <v>20</v>
      </c>
      <c r="L185" s="11">
        <v>12</v>
      </c>
      <c r="M185" s="11">
        <v>18</v>
      </c>
    </row>
    <row r="186" ht="16.5" customHeight="1">
      <c r="A186" s="9">
        <v>3415</v>
      </c>
      <c r="B186" s="9" t="s">
        <v>214</v>
      </c>
      <c r="C186" s="9" t="s">
        <v>29</v>
      </c>
      <c r="D186" s="10">
        <v>45532</v>
      </c>
      <c r="E186" s="9" t="s">
        <v>30</v>
      </c>
      <c r="F186" s="11">
        <v>5</v>
      </c>
      <c r="G186" s="9" t="s">
        <v>27</v>
      </c>
      <c r="H186" s="9" t="s">
        <v>30</v>
      </c>
      <c r="I186" s="11" t="s">
        <v>32</v>
      </c>
      <c r="J186" s="9" t="s">
        <v>30</v>
      </c>
      <c r="K186" s="11">
        <v>0</v>
      </c>
      <c r="L186" s="11">
        <v>2</v>
      </c>
      <c r="M186" s="11">
        <v>3</v>
      </c>
    </row>
    <row r="187" ht="16.5" customHeight="1">
      <c r="A187" s="9">
        <v>3416</v>
      </c>
      <c r="B187" s="9" t="s">
        <v>215</v>
      </c>
      <c r="C187" s="9" t="s">
        <v>25</v>
      </c>
      <c r="D187" s="10">
        <v>45533</v>
      </c>
      <c r="E187" s="9" t="s">
        <v>26</v>
      </c>
      <c r="F187" s="11">
        <v>15</v>
      </c>
      <c r="G187" s="9" t="s">
        <v>31</v>
      </c>
      <c r="H187" s="9" t="s">
        <v>26</v>
      </c>
      <c r="I187" s="11">
        <v>30</v>
      </c>
      <c r="J187" s="9" t="s">
        <v>26</v>
      </c>
      <c r="K187" s="11">
        <v>20</v>
      </c>
      <c r="L187" s="11">
        <v>5</v>
      </c>
      <c r="M187" s="11">
        <v>60</v>
      </c>
    </row>
    <row r="188" ht="16.5" customHeight="1">
      <c r="A188" s="9">
        <v>3417</v>
      </c>
      <c r="B188" s="9" t="s">
        <v>216</v>
      </c>
      <c r="C188" s="9" t="s">
        <v>34</v>
      </c>
      <c r="D188" s="10">
        <v>45534</v>
      </c>
      <c r="E188" s="9" t="s">
        <v>30</v>
      </c>
      <c r="F188" s="11">
        <v>10</v>
      </c>
      <c r="G188" s="9" t="s">
        <v>27</v>
      </c>
      <c r="H188" s="9" t="s">
        <v>30</v>
      </c>
      <c r="I188" s="11" t="s">
        <v>32</v>
      </c>
      <c r="J188" s="9" t="s">
        <v>26</v>
      </c>
      <c r="K188" s="11">
        <v>20</v>
      </c>
      <c r="L188" s="11">
        <v>10</v>
      </c>
      <c r="M188" s="11">
        <v>20</v>
      </c>
    </row>
    <row r="189" ht="16.5" customHeight="1">
      <c r="A189" s="9">
        <v>3418</v>
      </c>
      <c r="B189" s="9" t="s">
        <v>217</v>
      </c>
      <c r="C189" s="9" t="s">
        <v>29</v>
      </c>
      <c r="D189" s="10">
        <v>45535</v>
      </c>
      <c r="E189" s="9" t="s">
        <v>26</v>
      </c>
      <c r="F189" s="11">
        <v>5</v>
      </c>
      <c r="G189" s="9" t="s">
        <v>35</v>
      </c>
      <c r="H189" s="9" t="s">
        <v>30</v>
      </c>
      <c r="I189" s="11" t="s">
        <v>32</v>
      </c>
      <c r="J189" s="9" t="s">
        <v>30</v>
      </c>
      <c r="K189" s="11">
        <v>0</v>
      </c>
      <c r="L189" s="11">
        <v>0</v>
      </c>
      <c r="M189" s="11">
        <v>5</v>
      </c>
    </row>
    <row r="190" ht="16.5" customHeight="1">
      <c r="A190" s="9">
        <v>3419</v>
      </c>
      <c r="B190" s="9" t="s">
        <v>218</v>
      </c>
      <c r="C190" s="9" t="s">
        <v>25</v>
      </c>
      <c r="D190" s="10">
        <v>45536</v>
      </c>
      <c r="E190" s="9" t="s">
        <v>30</v>
      </c>
      <c r="F190" s="11">
        <v>15</v>
      </c>
      <c r="G190" s="9" t="s">
        <v>27</v>
      </c>
      <c r="H190" s="9" t="s">
        <v>26</v>
      </c>
      <c r="I190" s="11">
        <v>30</v>
      </c>
      <c r="J190" s="9" t="s">
        <v>26</v>
      </c>
      <c r="K190" s="11">
        <v>20</v>
      </c>
      <c r="L190" s="11">
        <v>3</v>
      </c>
      <c r="M190" s="11">
        <v>62</v>
      </c>
    </row>
    <row r="191" ht="16.5" customHeight="1">
      <c r="A191" s="9">
        <v>3420</v>
      </c>
      <c r="B191" s="9" t="s">
        <v>219</v>
      </c>
      <c r="C191" s="9" t="s">
        <v>34</v>
      </c>
      <c r="D191" s="10">
        <v>45537</v>
      </c>
      <c r="E191" s="9" t="s">
        <v>26</v>
      </c>
      <c r="F191" s="11">
        <v>10</v>
      </c>
      <c r="G191" s="9" t="s">
        <v>31</v>
      </c>
      <c r="H191" s="9" t="s">
        <v>30</v>
      </c>
      <c r="I191" s="11" t="s">
        <v>32</v>
      </c>
      <c r="J191" s="9" t="s">
        <v>26</v>
      </c>
      <c r="K191" s="11">
        <v>20</v>
      </c>
      <c r="L191" s="11">
        <v>15</v>
      </c>
      <c r="M191" s="11">
        <v>15</v>
      </c>
    </row>
    <row r="192" ht="16.5" customHeight="1">
      <c r="A192" s="9">
        <v>3421</v>
      </c>
      <c r="B192" s="9" t="s">
        <v>48</v>
      </c>
      <c r="C192" s="9" t="s">
        <v>29</v>
      </c>
      <c r="D192" s="10">
        <v>45538</v>
      </c>
      <c r="E192" s="9" t="s">
        <v>30</v>
      </c>
      <c r="F192" s="11">
        <v>5</v>
      </c>
      <c r="G192" s="9" t="s">
        <v>27</v>
      </c>
      <c r="H192" s="9" t="s">
        <v>30</v>
      </c>
      <c r="I192" s="11" t="s">
        <v>32</v>
      </c>
      <c r="J192" s="9" t="s">
        <v>30</v>
      </c>
      <c r="K192" s="11">
        <v>0</v>
      </c>
      <c r="L192" s="11">
        <v>1</v>
      </c>
      <c r="M192" s="11">
        <v>4</v>
      </c>
    </row>
    <row r="193" ht="16.5" customHeight="1">
      <c r="A193" s="9">
        <v>3422</v>
      </c>
      <c r="B193" s="9" t="s">
        <v>220</v>
      </c>
      <c r="C193" s="9" t="s">
        <v>25</v>
      </c>
      <c r="D193" s="10">
        <v>45539</v>
      </c>
      <c r="E193" s="9" t="s">
        <v>26</v>
      </c>
      <c r="F193" s="11">
        <v>15</v>
      </c>
      <c r="G193" s="9" t="s">
        <v>35</v>
      </c>
      <c r="H193" s="9" t="s">
        <v>26</v>
      </c>
      <c r="I193" s="11">
        <v>30</v>
      </c>
      <c r="J193" s="9" t="s">
        <v>26</v>
      </c>
      <c r="K193" s="11">
        <v>20</v>
      </c>
      <c r="L193" s="11">
        <v>7</v>
      </c>
      <c r="M193" s="11">
        <v>58</v>
      </c>
    </row>
    <row r="194" ht="16.5" customHeight="1">
      <c r="A194" s="9">
        <v>3423</v>
      </c>
      <c r="B194" s="9" t="s">
        <v>221</v>
      </c>
      <c r="C194" s="9" t="s">
        <v>34</v>
      </c>
      <c r="D194" s="10">
        <v>45540</v>
      </c>
      <c r="E194" s="9" t="s">
        <v>30</v>
      </c>
      <c r="F194" s="11">
        <v>10</v>
      </c>
      <c r="G194" s="9" t="s">
        <v>27</v>
      </c>
      <c r="H194" s="9" t="s">
        <v>30</v>
      </c>
      <c r="I194" s="11" t="s">
        <v>32</v>
      </c>
      <c r="J194" s="9" t="s">
        <v>26</v>
      </c>
      <c r="K194" s="11">
        <v>20</v>
      </c>
      <c r="L194" s="11">
        <v>10</v>
      </c>
      <c r="M194" s="11">
        <v>20</v>
      </c>
    </row>
    <row r="195" ht="16.5" customHeight="1">
      <c r="A195" s="9">
        <v>3424</v>
      </c>
      <c r="B195" s="9" t="s">
        <v>47</v>
      </c>
      <c r="C195" s="9" t="s">
        <v>29</v>
      </c>
      <c r="D195" s="10">
        <v>45541</v>
      </c>
      <c r="E195" s="9" t="s">
        <v>26</v>
      </c>
      <c r="F195" s="11">
        <v>5</v>
      </c>
      <c r="G195" s="9" t="s">
        <v>31</v>
      </c>
      <c r="H195" s="9" t="s">
        <v>30</v>
      </c>
      <c r="I195" s="11" t="s">
        <v>32</v>
      </c>
      <c r="J195" s="9" t="s">
        <v>30</v>
      </c>
      <c r="K195" s="11">
        <v>0</v>
      </c>
      <c r="L195" s="11">
        <v>0</v>
      </c>
      <c r="M195" s="11">
        <v>5</v>
      </c>
    </row>
    <row r="196" ht="16.5" customHeight="1">
      <c r="A196" s="9">
        <v>3425</v>
      </c>
      <c r="B196" s="9" t="s">
        <v>222</v>
      </c>
      <c r="C196" s="9" t="s">
        <v>25</v>
      </c>
      <c r="D196" s="10">
        <v>45542</v>
      </c>
      <c r="E196" s="9" t="s">
        <v>30</v>
      </c>
      <c r="F196" s="11">
        <v>15</v>
      </c>
      <c r="G196" s="9" t="s">
        <v>27</v>
      </c>
      <c r="H196" s="9" t="s">
        <v>26</v>
      </c>
      <c r="I196" s="11">
        <v>30</v>
      </c>
      <c r="J196" s="9" t="s">
        <v>26</v>
      </c>
      <c r="K196" s="11">
        <v>20</v>
      </c>
      <c r="L196" s="11">
        <v>20</v>
      </c>
      <c r="M196" s="11">
        <v>45</v>
      </c>
    </row>
    <row r="197" ht="16.5" customHeight="1">
      <c r="A197" s="9">
        <v>3426</v>
      </c>
      <c r="B197" s="9" t="s">
        <v>200</v>
      </c>
      <c r="C197" s="9" t="s">
        <v>34</v>
      </c>
      <c r="D197" s="10">
        <v>45543</v>
      </c>
      <c r="E197" s="9" t="s">
        <v>26</v>
      </c>
      <c r="F197" s="11">
        <v>10</v>
      </c>
      <c r="G197" s="9" t="s">
        <v>35</v>
      </c>
      <c r="H197" s="9" t="s">
        <v>30</v>
      </c>
      <c r="I197" s="11" t="s">
        <v>32</v>
      </c>
      <c r="J197" s="9" t="s">
        <v>26</v>
      </c>
      <c r="K197" s="11">
        <v>20</v>
      </c>
      <c r="L197" s="11">
        <v>15</v>
      </c>
      <c r="M197" s="11">
        <v>15</v>
      </c>
    </row>
    <row r="198" ht="16.5" customHeight="1">
      <c r="A198" s="9">
        <v>3427</v>
      </c>
      <c r="B198" s="9" t="s">
        <v>223</v>
      </c>
      <c r="C198" s="9" t="s">
        <v>29</v>
      </c>
      <c r="D198" s="10">
        <v>45544</v>
      </c>
      <c r="E198" s="9" t="s">
        <v>30</v>
      </c>
      <c r="F198" s="11">
        <v>5</v>
      </c>
      <c r="G198" s="9" t="s">
        <v>27</v>
      </c>
      <c r="H198" s="9" t="s">
        <v>30</v>
      </c>
      <c r="I198" s="11" t="s">
        <v>32</v>
      </c>
      <c r="J198" s="9" t="s">
        <v>30</v>
      </c>
      <c r="K198" s="11">
        <v>0</v>
      </c>
      <c r="L198" s="11">
        <v>1</v>
      </c>
      <c r="M198" s="11">
        <v>4</v>
      </c>
    </row>
    <row r="199" ht="16.5" customHeight="1">
      <c r="A199" s="9">
        <v>3428</v>
      </c>
      <c r="B199" s="9" t="s">
        <v>224</v>
      </c>
      <c r="C199" s="9" t="s">
        <v>25</v>
      </c>
      <c r="D199" s="10">
        <v>45545</v>
      </c>
      <c r="E199" s="9" t="s">
        <v>26</v>
      </c>
      <c r="F199" s="11">
        <v>15</v>
      </c>
      <c r="G199" s="9" t="s">
        <v>31</v>
      </c>
      <c r="H199" s="9" t="s">
        <v>26</v>
      </c>
      <c r="I199" s="11">
        <v>30</v>
      </c>
      <c r="J199" s="9" t="s">
        <v>26</v>
      </c>
      <c r="K199" s="11">
        <v>20</v>
      </c>
      <c r="L199" s="11">
        <v>3</v>
      </c>
      <c r="M199" s="11">
        <v>62</v>
      </c>
    </row>
    <row r="200" ht="16.5" customHeight="1">
      <c r="A200" s="9">
        <v>3429</v>
      </c>
      <c r="B200" s="9" t="s">
        <v>225</v>
      </c>
      <c r="C200" s="9" t="s">
        <v>34</v>
      </c>
      <c r="D200" s="10">
        <v>45546</v>
      </c>
      <c r="E200" s="9" t="s">
        <v>30</v>
      </c>
      <c r="F200" s="11">
        <v>10</v>
      </c>
      <c r="G200" s="9" t="s">
        <v>27</v>
      </c>
      <c r="H200" s="9" t="s">
        <v>30</v>
      </c>
      <c r="I200" s="11" t="s">
        <v>32</v>
      </c>
      <c r="J200" s="9" t="s">
        <v>26</v>
      </c>
      <c r="K200" s="11">
        <v>20</v>
      </c>
      <c r="L200" s="11">
        <v>10</v>
      </c>
      <c r="M200" s="11">
        <v>20</v>
      </c>
    </row>
    <row r="201" ht="16.5" customHeight="1">
      <c r="A201" s="9">
        <v>3430</v>
      </c>
      <c r="B201" s="9" t="s">
        <v>226</v>
      </c>
      <c r="C201" s="9" t="s">
        <v>29</v>
      </c>
      <c r="D201" s="10">
        <v>45547</v>
      </c>
      <c r="E201" s="9" t="s">
        <v>26</v>
      </c>
      <c r="F201" s="11">
        <v>5</v>
      </c>
      <c r="G201" s="9" t="s">
        <v>35</v>
      </c>
      <c r="H201" s="9" t="s">
        <v>30</v>
      </c>
      <c r="I201" s="11" t="s">
        <v>32</v>
      </c>
      <c r="J201" s="9" t="s">
        <v>30</v>
      </c>
      <c r="K201" s="11">
        <v>0</v>
      </c>
      <c r="L201" s="11">
        <v>0</v>
      </c>
      <c r="M201" s="11">
        <v>5</v>
      </c>
    </row>
    <row r="202" ht="16.5" customHeight="1">
      <c r="A202" s="9">
        <v>3431</v>
      </c>
      <c r="B202" s="9" t="s">
        <v>227</v>
      </c>
      <c r="C202" s="9" t="s">
        <v>25</v>
      </c>
      <c r="D202" s="10">
        <v>45548</v>
      </c>
      <c r="E202" s="9" t="s">
        <v>30</v>
      </c>
      <c r="F202" s="11">
        <v>15</v>
      </c>
      <c r="G202" s="9" t="s">
        <v>27</v>
      </c>
      <c r="H202" s="9" t="s">
        <v>26</v>
      </c>
      <c r="I202" s="11">
        <v>30</v>
      </c>
      <c r="J202" s="9" t="s">
        <v>26</v>
      </c>
      <c r="K202" s="11">
        <v>20</v>
      </c>
      <c r="L202" s="11">
        <v>15</v>
      </c>
      <c r="M202" s="11">
        <v>50</v>
      </c>
    </row>
    <row r="203" ht="16.5" customHeight="1">
      <c r="A203" s="9">
        <v>3432</v>
      </c>
      <c r="B203" s="9" t="s">
        <v>228</v>
      </c>
      <c r="C203" s="9" t="s">
        <v>34</v>
      </c>
      <c r="D203" s="10">
        <v>45549</v>
      </c>
      <c r="E203" s="9" t="s">
        <v>26</v>
      </c>
      <c r="F203" s="11">
        <v>10</v>
      </c>
      <c r="G203" s="9" t="s">
        <v>31</v>
      </c>
      <c r="H203" s="9" t="s">
        <v>30</v>
      </c>
      <c r="I203" s="11" t="s">
        <v>32</v>
      </c>
      <c r="J203" s="9" t="s">
        <v>26</v>
      </c>
      <c r="K203" s="11">
        <v>20</v>
      </c>
      <c r="L203" s="11">
        <v>15</v>
      </c>
      <c r="M203" s="11">
        <v>15</v>
      </c>
    </row>
    <row r="204" ht="16.5" customHeight="1">
      <c r="A204" s="9">
        <v>3433</v>
      </c>
      <c r="B204" s="9" t="s">
        <v>229</v>
      </c>
      <c r="C204" s="9" t="s">
        <v>29</v>
      </c>
      <c r="D204" s="10">
        <v>45550</v>
      </c>
      <c r="E204" s="9" t="s">
        <v>30</v>
      </c>
      <c r="F204" s="11">
        <v>5</v>
      </c>
      <c r="G204" s="9" t="s">
        <v>27</v>
      </c>
      <c r="H204" s="9" t="s">
        <v>30</v>
      </c>
      <c r="I204" s="11" t="s">
        <v>32</v>
      </c>
      <c r="J204" s="9" t="s">
        <v>30</v>
      </c>
      <c r="K204" s="11">
        <v>0</v>
      </c>
      <c r="L204" s="11">
        <v>1</v>
      </c>
      <c r="M204" s="11">
        <v>4</v>
      </c>
    </row>
    <row r="205" ht="16.5" customHeight="1">
      <c r="A205" s="9">
        <v>3434</v>
      </c>
      <c r="B205" s="9" t="s">
        <v>230</v>
      </c>
      <c r="C205" s="9" t="s">
        <v>25</v>
      </c>
      <c r="D205" s="10">
        <v>45551</v>
      </c>
      <c r="E205" s="9" t="s">
        <v>26</v>
      </c>
      <c r="F205" s="11">
        <v>15</v>
      </c>
      <c r="G205" s="9" t="s">
        <v>35</v>
      </c>
      <c r="H205" s="9" t="s">
        <v>26</v>
      </c>
      <c r="I205" s="11">
        <v>30</v>
      </c>
      <c r="J205" s="9" t="s">
        <v>26</v>
      </c>
      <c r="K205" s="11">
        <v>20</v>
      </c>
      <c r="L205" s="11">
        <v>7</v>
      </c>
      <c r="M205" s="11">
        <v>58</v>
      </c>
    </row>
    <row r="206" ht="16.5" customHeight="1">
      <c r="A206" s="9">
        <v>3435</v>
      </c>
      <c r="B206" s="9" t="s">
        <v>231</v>
      </c>
      <c r="C206" s="9" t="s">
        <v>34</v>
      </c>
      <c r="D206" s="10">
        <v>45552</v>
      </c>
      <c r="E206" s="9" t="s">
        <v>30</v>
      </c>
      <c r="F206" s="11">
        <v>10</v>
      </c>
      <c r="G206" s="9" t="s">
        <v>27</v>
      </c>
      <c r="H206" s="9" t="s">
        <v>30</v>
      </c>
      <c r="I206" s="11" t="s">
        <v>32</v>
      </c>
      <c r="J206" s="9" t="s">
        <v>26</v>
      </c>
      <c r="K206" s="11">
        <v>20</v>
      </c>
      <c r="L206" s="11">
        <v>10</v>
      </c>
      <c r="M206" s="11">
        <v>20</v>
      </c>
    </row>
    <row r="207" ht="16.5" customHeight="1">
      <c r="A207" s="9">
        <v>3436</v>
      </c>
      <c r="B207" s="9" t="s">
        <v>232</v>
      </c>
      <c r="C207" s="9" t="s">
        <v>29</v>
      </c>
      <c r="D207" s="10">
        <v>45553</v>
      </c>
      <c r="E207" s="9" t="s">
        <v>26</v>
      </c>
      <c r="F207" s="11">
        <v>5</v>
      </c>
      <c r="G207" s="9" t="s">
        <v>27</v>
      </c>
      <c r="H207" s="9" t="s">
        <v>30</v>
      </c>
      <c r="I207" s="11" t="s">
        <v>32</v>
      </c>
      <c r="J207" s="9" t="s">
        <v>30</v>
      </c>
      <c r="K207" s="11">
        <v>0</v>
      </c>
      <c r="L207" s="11">
        <v>0</v>
      </c>
      <c r="M207" s="11">
        <v>5</v>
      </c>
    </row>
    <row r="208" ht="16.5" customHeight="1">
      <c r="A208" s="9">
        <v>3437</v>
      </c>
      <c r="B208" s="9" t="s">
        <v>233</v>
      </c>
      <c r="C208" s="9" t="s">
        <v>25</v>
      </c>
      <c r="D208" s="10">
        <v>45554</v>
      </c>
      <c r="E208" s="9" t="s">
        <v>30</v>
      </c>
      <c r="F208" s="11">
        <v>15</v>
      </c>
      <c r="G208" s="9" t="s">
        <v>35</v>
      </c>
      <c r="H208" s="9" t="s">
        <v>26</v>
      </c>
      <c r="I208" s="11">
        <v>30</v>
      </c>
      <c r="J208" s="9" t="s">
        <v>26</v>
      </c>
      <c r="K208" s="11">
        <v>20</v>
      </c>
      <c r="L208" s="11">
        <v>7</v>
      </c>
      <c r="M208" s="11">
        <v>58</v>
      </c>
    </row>
    <row r="209" ht="16.5" customHeight="1">
      <c r="A209" s="9">
        <v>3438</v>
      </c>
      <c r="B209" s="9" t="s">
        <v>234</v>
      </c>
      <c r="C209" s="9" t="s">
        <v>34</v>
      </c>
      <c r="D209" s="10">
        <v>45555</v>
      </c>
      <c r="E209" s="9" t="s">
        <v>26</v>
      </c>
      <c r="F209" s="11">
        <v>10</v>
      </c>
      <c r="G209" s="9" t="s">
        <v>31</v>
      </c>
      <c r="H209" s="9" t="s">
        <v>30</v>
      </c>
      <c r="I209" s="11" t="s">
        <v>32</v>
      </c>
      <c r="J209" s="9" t="s">
        <v>26</v>
      </c>
      <c r="K209" s="11">
        <v>20</v>
      </c>
      <c r="L209" s="11">
        <v>10</v>
      </c>
      <c r="M209" s="11">
        <v>20</v>
      </c>
    </row>
    <row r="210" ht="16.5" customHeight="1">
      <c r="A210" s="9">
        <v>3439</v>
      </c>
      <c r="B210" s="9" t="s">
        <v>235</v>
      </c>
      <c r="C210" s="9" t="s">
        <v>29</v>
      </c>
      <c r="D210" s="10">
        <v>45556</v>
      </c>
      <c r="E210" s="9" t="s">
        <v>30</v>
      </c>
      <c r="F210" s="11">
        <v>5</v>
      </c>
      <c r="G210" s="9" t="s">
        <v>35</v>
      </c>
      <c r="H210" s="9" t="s">
        <v>30</v>
      </c>
      <c r="I210" s="11" t="s">
        <v>32</v>
      </c>
      <c r="J210" s="9" t="s">
        <v>30</v>
      </c>
      <c r="K210" s="11">
        <v>0</v>
      </c>
      <c r="L210" s="11">
        <v>1</v>
      </c>
      <c r="M210" s="11">
        <v>4</v>
      </c>
    </row>
    <row r="211" ht="16.5" customHeight="1">
      <c r="A211" s="9">
        <v>3440</v>
      </c>
      <c r="B211" s="9" t="s">
        <v>236</v>
      </c>
      <c r="C211" s="9" t="s">
        <v>25</v>
      </c>
      <c r="D211" s="10">
        <v>45557</v>
      </c>
      <c r="E211" s="9" t="s">
        <v>26</v>
      </c>
      <c r="F211" s="11">
        <v>15</v>
      </c>
      <c r="G211" s="9" t="s">
        <v>27</v>
      </c>
      <c r="H211" s="9" t="s">
        <v>26</v>
      </c>
      <c r="I211" s="11">
        <v>30</v>
      </c>
      <c r="J211" s="9" t="s">
        <v>26</v>
      </c>
      <c r="K211" s="11">
        <v>20</v>
      </c>
      <c r="L211" s="11">
        <v>15</v>
      </c>
      <c r="M211" s="11">
        <v>50</v>
      </c>
    </row>
    <row r="212" ht="16.5" customHeight="1">
      <c r="A212" s="9">
        <v>3441</v>
      </c>
      <c r="B212" s="9" t="s">
        <v>237</v>
      </c>
      <c r="C212" s="9" t="s">
        <v>34</v>
      </c>
      <c r="D212" s="10">
        <v>45558</v>
      </c>
      <c r="E212" s="9" t="s">
        <v>30</v>
      </c>
      <c r="F212" s="11">
        <v>10</v>
      </c>
      <c r="G212" s="9" t="s">
        <v>27</v>
      </c>
      <c r="H212" s="9" t="s">
        <v>30</v>
      </c>
      <c r="I212" s="11" t="s">
        <v>32</v>
      </c>
      <c r="J212" s="9" t="s">
        <v>26</v>
      </c>
      <c r="K212" s="11">
        <v>20</v>
      </c>
      <c r="L212" s="11">
        <v>5</v>
      </c>
      <c r="M212" s="11">
        <v>25</v>
      </c>
    </row>
    <row r="213" ht="16.5" customHeight="1">
      <c r="A213" s="9">
        <v>3442</v>
      </c>
      <c r="B213" s="9" t="s">
        <v>238</v>
      </c>
      <c r="C213" s="9" t="s">
        <v>29</v>
      </c>
      <c r="D213" s="10">
        <v>45559</v>
      </c>
      <c r="E213" s="9" t="s">
        <v>26</v>
      </c>
      <c r="F213" s="11">
        <v>5</v>
      </c>
      <c r="G213" s="9" t="s">
        <v>31</v>
      </c>
      <c r="H213" s="9" t="s">
        <v>30</v>
      </c>
      <c r="I213" s="11" t="s">
        <v>32</v>
      </c>
      <c r="J213" s="9" t="s">
        <v>30</v>
      </c>
      <c r="K213" s="11">
        <v>0</v>
      </c>
      <c r="L213" s="11">
        <v>0</v>
      </c>
      <c r="M213" s="11">
        <v>5</v>
      </c>
    </row>
    <row r="214" ht="16.5" customHeight="1">
      <c r="A214" s="9">
        <v>3443</v>
      </c>
      <c r="B214" s="9" t="s">
        <v>239</v>
      </c>
      <c r="C214" s="9" t="s">
        <v>25</v>
      </c>
      <c r="D214" s="10">
        <v>45560</v>
      </c>
      <c r="E214" s="9" t="s">
        <v>30</v>
      </c>
      <c r="F214" s="11">
        <v>15</v>
      </c>
      <c r="G214" s="9" t="s">
        <v>35</v>
      </c>
      <c r="H214" s="9" t="s">
        <v>26</v>
      </c>
      <c r="I214" s="11">
        <v>30</v>
      </c>
      <c r="J214" s="9" t="s">
        <v>26</v>
      </c>
      <c r="K214" s="11">
        <v>20</v>
      </c>
      <c r="L214" s="11">
        <v>20</v>
      </c>
      <c r="M214" s="11">
        <v>45</v>
      </c>
    </row>
    <row r="215" ht="16.5" customHeight="1">
      <c r="A215" s="9">
        <v>3444</v>
      </c>
      <c r="B215" s="9" t="s">
        <v>240</v>
      </c>
      <c r="C215" s="9" t="s">
        <v>34</v>
      </c>
      <c r="D215" s="10">
        <v>45561</v>
      </c>
      <c r="E215" s="9" t="s">
        <v>26</v>
      </c>
      <c r="F215" s="11">
        <v>10</v>
      </c>
      <c r="G215" s="9" t="s">
        <v>35</v>
      </c>
      <c r="H215" s="9" t="s">
        <v>30</v>
      </c>
      <c r="I215" s="11" t="s">
        <v>32</v>
      </c>
      <c r="J215" s="9" t="s">
        <v>26</v>
      </c>
      <c r="K215" s="11">
        <v>20</v>
      </c>
      <c r="L215" s="11">
        <v>12</v>
      </c>
      <c r="M215" s="11">
        <v>18</v>
      </c>
    </row>
    <row r="216" ht="16.5" customHeight="1">
      <c r="A216" s="9">
        <v>3445</v>
      </c>
      <c r="B216" s="9" t="s">
        <v>70</v>
      </c>
      <c r="C216" s="9" t="s">
        <v>29</v>
      </c>
      <c r="D216" s="10">
        <v>45562</v>
      </c>
      <c r="E216" s="9" t="s">
        <v>30</v>
      </c>
      <c r="F216" s="11">
        <v>5</v>
      </c>
      <c r="G216" s="9" t="s">
        <v>27</v>
      </c>
      <c r="H216" s="9" t="s">
        <v>30</v>
      </c>
      <c r="I216" s="11" t="s">
        <v>32</v>
      </c>
      <c r="J216" s="9" t="s">
        <v>30</v>
      </c>
      <c r="K216" s="11">
        <v>0</v>
      </c>
      <c r="L216" s="11">
        <v>2</v>
      </c>
      <c r="M216" s="11">
        <v>3</v>
      </c>
    </row>
    <row r="217" ht="16.5" customHeight="1">
      <c r="A217" s="9">
        <v>3446</v>
      </c>
      <c r="B217" s="9" t="s">
        <v>241</v>
      </c>
      <c r="C217" s="9" t="s">
        <v>25</v>
      </c>
      <c r="D217" s="10">
        <v>45563</v>
      </c>
      <c r="E217" s="9" t="s">
        <v>26</v>
      </c>
      <c r="F217" s="11">
        <v>15</v>
      </c>
      <c r="G217" s="9" t="s">
        <v>31</v>
      </c>
      <c r="H217" s="9" t="s">
        <v>26</v>
      </c>
      <c r="I217" s="11">
        <v>30</v>
      </c>
      <c r="J217" s="9" t="s">
        <v>26</v>
      </c>
      <c r="K217" s="11">
        <v>20</v>
      </c>
      <c r="L217" s="11">
        <v>5</v>
      </c>
      <c r="M217" s="11">
        <v>60</v>
      </c>
    </row>
    <row r="218" ht="16.5" customHeight="1">
      <c r="A218" s="9">
        <v>3447</v>
      </c>
      <c r="B218" s="9" t="s">
        <v>242</v>
      </c>
      <c r="C218" s="9" t="s">
        <v>34</v>
      </c>
      <c r="D218" s="10">
        <v>45564</v>
      </c>
      <c r="E218" s="9" t="s">
        <v>30</v>
      </c>
      <c r="F218" s="11">
        <v>10</v>
      </c>
      <c r="G218" s="9" t="s">
        <v>27</v>
      </c>
      <c r="H218" s="9" t="s">
        <v>30</v>
      </c>
      <c r="I218" s="11" t="s">
        <v>32</v>
      </c>
      <c r="J218" s="9" t="s">
        <v>26</v>
      </c>
      <c r="K218" s="11">
        <v>20</v>
      </c>
      <c r="L218" s="11">
        <v>10</v>
      </c>
      <c r="M218" s="11">
        <v>20</v>
      </c>
    </row>
    <row r="219" ht="16.5" customHeight="1">
      <c r="A219" s="9">
        <v>3448</v>
      </c>
      <c r="B219" s="9" t="s">
        <v>243</v>
      </c>
      <c r="C219" s="9" t="s">
        <v>29</v>
      </c>
      <c r="D219" s="10">
        <v>45565</v>
      </c>
      <c r="E219" s="9" t="s">
        <v>26</v>
      </c>
      <c r="F219" s="11">
        <v>5</v>
      </c>
      <c r="G219" s="9" t="s">
        <v>35</v>
      </c>
      <c r="H219" s="9" t="s">
        <v>30</v>
      </c>
      <c r="I219" s="11" t="s">
        <v>32</v>
      </c>
      <c r="J219" s="9" t="s">
        <v>30</v>
      </c>
      <c r="K219" s="11">
        <v>0</v>
      </c>
      <c r="L219" s="11">
        <v>0</v>
      </c>
      <c r="M219" s="11">
        <v>5</v>
      </c>
    </row>
    <row r="220" ht="16.5" customHeight="1">
      <c r="A220" s="9">
        <v>3449</v>
      </c>
      <c r="B220" s="9" t="s">
        <v>244</v>
      </c>
      <c r="C220" s="9" t="s">
        <v>25</v>
      </c>
      <c r="D220" s="10">
        <v>45566</v>
      </c>
      <c r="E220" s="9" t="s">
        <v>30</v>
      </c>
      <c r="F220" s="11">
        <v>15</v>
      </c>
      <c r="G220" s="9" t="s">
        <v>27</v>
      </c>
      <c r="H220" s="9" t="s">
        <v>26</v>
      </c>
      <c r="I220" s="11">
        <v>30</v>
      </c>
      <c r="J220" s="9" t="s">
        <v>26</v>
      </c>
      <c r="K220" s="11">
        <v>20</v>
      </c>
      <c r="L220" s="11">
        <v>3</v>
      </c>
      <c r="M220" s="11">
        <v>62</v>
      </c>
    </row>
    <row r="221" ht="16.5" customHeight="1">
      <c r="A221" s="9">
        <v>3450</v>
      </c>
      <c r="B221" s="9" t="s">
        <v>245</v>
      </c>
      <c r="C221" s="9" t="s">
        <v>34</v>
      </c>
      <c r="D221" s="10">
        <v>45567</v>
      </c>
      <c r="E221" s="9" t="s">
        <v>26</v>
      </c>
      <c r="F221" s="11">
        <v>10</v>
      </c>
      <c r="G221" s="9" t="s">
        <v>31</v>
      </c>
      <c r="H221" s="9" t="s">
        <v>30</v>
      </c>
      <c r="I221" s="11" t="s">
        <v>32</v>
      </c>
      <c r="J221" s="9" t="s">
        <v>26</v>
      </c>
      <c r="K221" s="11">
        <v>20</v>
      </c>
      <c r="L221" s="11">
        <v>15</v>
      </c>
      <c r="M221" s="11">
        <v>15</v>
      </c>
    </row>
    <row r="222" ht="16.5" customHeight="1">
      <c r="A222" s="9">
        <v>3451</v>
      </c>
      <c r="B222" s="9" t="s">
        <v>246</v>
      </c>
      <c r="C222" s="9" t="s">
        <v>29</v>
      </c>
      <c r="D222" s="10">
        <v>45568</v>
      </c>
      <c r="E222" s="9" t="s">
        <v>30</v>
      </c>
      <c r="F222" s="11">
        <v>5</v>
      </c>
      <c r="G222" s="9" t="s">
        <v>27</v>
      </c>
      <c r="H222" s="9" t="s">
        <v>30</v>
      </c>
      <c r="I222" s="11" t="s">
        <v>32</v>
      </c>
      <c r="J222" s="9" t="s">
        <v>30</v>
      </c>
      <c r="K222" s="11">
        <v>0</v>
      </c>
      <c r="L222" s="11">
        <v>1</v>
      </c>
      <c r="M222" s="11">
        <v>4</v>
      </c>
    </row>
    <row r="223" ht="16.5" customHeight="1">
      <c r="A223" s="9">
        <v>3452</v>
      </c>
      <c r="B223" s="9" t="s">
        <v>224</v>
      </c>
      <c r="C223" s="9" t="s">
        <v>25</v>
      </c>
      <c r="D223" s="10">
        <v>45569</v>
      </c>
      <c r="E223" s="9" t="s">
        <v>26</v>
      </c>
      <c r="F223" s="11">
        <v>15</v>
      </c>
      <c r="G223" s="9" t="s">
        <v>35</v>
      </c>
      <c r="H223" s="9" t="s">
        <v>26</v>
      </c>
      <c r="I223" s="11">
        <v>30</v>
      </c>
      <c r="J223" s="9" t="s">
        <v>26</v>
      </c>
      <c r="K223" s="11">
        <v>20</v>
      </c>
      <c r="L223" s="11">
        <v>7</v>
      </c>
      <c r="M223" s="11">
        <v>58</v>
      </c>
    </row>
    <row r="224" ht="16.5" customHeight="1">
      <c r="A224" s="9">
        <v>3453</v>
      </c>
      <c r="B224" s="9" t="s">
        <v>78</v>
      </c>
      <c r="C224" s="9" t="s">
        <v>34</v>
      </c>
      <c r="D224" s="10">
        <v>45570</v>
      </c>
      <c r="E224" s="9" t="s">
        <v>30</v>
      </c>
      <c r="F224" s="11">
        <v>10</v>
      </c>
      <c r="G224" s="9" t="s">
        <v>27</v>
      </c>
      <c r="H224" s="9" t="s">
        <v>30</v>
      </c>
      <c r="I224" s="11" t="s">
        <v>32</v>
      </c>
      <c r="J224" s="9" t="s">
        <v>26</v>
      </c>
      <c r="K224" s="11">
        <v>20</v>
      </c>
      <c r="L224" s="11">
        <v>10</v>
      </c>
      <c r="M224" s="11">
        <v>20</v>
      </c>
    </row>
    <row r="225" ht="16.5" customHeight="1">
      <c r="A225" s="9">
        <v>3454</v>
      </c>
      <c r="B225" s="9" t="s">
        <v>247</v>
      </c>
      <c r="C225" s="9" t="s">
        <v>29</v>
      </c>
      <c r="D225" s="10">
        <v>45571</v>
      </c>
      <c r="E225" s="9" t="s">
        <v>26</v>
      </c>
      <c r="F225" s="11">
        <v>5</v>
      </c>
      <c r="G225" s="9" t="s">
        <v>31</v>
      </c>
      <c r="H225" s="9" t="s">
        <v>30</v>
      </c>
      <c r="I225" s="11" t="s">
        <v>32</v>
      </c>
      <c r="J225" s="9" t="s">
        <v>30</v>
      </c>
      <c r="K225" s="11">
        <v>0</v>
      </c>
      <c r="L225" s="11">
        <v>0</v>
      </c>
      <c r="M225" s="11">
        <v>5</v>
      </c>
    </row>
    <row r="226" ht="16.5" customHeight="1">
      <c r="A226" s="9">
        <v>3455</v>
      </c>
      <c r="B226" s="9" t="s">
        <v>248</v>
      </c>
      <c r="C226" s="9" t="s">
        <v>25</v>
      </c>
      <c r="D226" s="10">
        <v>45572</v>
      </c>
      <c r="E226" s="9" t="s">
        <v>30</v>
      </c>
      <c r="F226" s="11">
        <v>15</v>
      </c>
      <c r="G226" s="9" t="s">
        <v>27</v>
      </c>
      <c r="H226" s="9" t="s">
        <v>26</v>
      </c>
      <c r="I226" s="11">
        <v>30</v>
      </c>
      <c r="J226" s="9" t="s">
        <v>26</v>
      </c>
      <c r="K226" s="11">
        <v>20</v>
      </c>
      <c r="L226" s="11">
        <v>20</v>
      </c>
      <c r="M226" s="11">
        <v>45</v>
      </c>
    </row>
    <row r="227" ht="16.5" customHeight="1">
      <c r="A227" s="9">
        <v>3456</v>
      </c>
      <c r="B227" s="9" t="s">
        <v>249</v>
      </c>
      <c r="C227" s="9" t="s">
        <v>34</v>
      </c>
      <c r="D227" s="10">
        <v>45573</v>
      </c>
      <c r="E227" s="9" t="s">
        <v>26</v>
      </c>
      <c r="F227" s="11">
        <v>10</v>
      </c>
      <c r="G227" s="9" t="s">
        <v>35</v>
      </c>
      <c r="H227" s="9" t="s">
        <v>30</v>
      </c>
      <c r="I227" s="11" t="s">
        <v>32</v>
      </c>
      <c r="J227" s="9" t="s">
        <v>26</v>
      </c>
      <c r="K227" s="11">
        <v>20</v>
      </c>
      <c r="L227" s="11">
        <v>15</v>
      </c>
      <c r="M227" s="11">
        <v>15</v>
      </c>
    </row>
    <row r="228" ht="16.5" customHeight="1">
      <c r="A228" s="9">
        <v>3457</v>
      </c>
      <c r="B228" s="9" t="s">
        <v>250</v>
      </c>
      <c r="C228" s="9" t="s">
        <v>29</v>
      </c>
      <c r="D228" s="10">
        <v>45574</v>
      </c>
      <c r="E228" s="9" t="s">
        <v>30</v>
      </c>
      <c r="F228" s="11">
        <v>5</v>
      </c>
      <c r="G228" s="9" t="s">
        <v>27</v>
      </c>
      <c r="H228" s="9" t="s">
        <v>30</v>
      </c>
      <c r="I228" s="11" t="s">
        <v>32</v>
      </c>
      <c r="J228" s="9" t="s">
        <v>30</v>
      </c>
      <c r="K228" s="11">
        <v>0</v>
      </c>
      <c r="L228" s="11">
        <v>1</v>
      </c>
      <c r="M228" s="11">
        <v>4</v>
      </c>
    </row>
    <row r="229" ht="16.5" customHeight="1">
      <c r="A229" s="9">
        <v>3458</v>
      </c>
      <c r="B229" s="9" t="s">
        <v>251</v>
      </c>
      <c r="C229" s="9" t="s">
        <v>25</v>
      </c>
      <c r="D229" s="10">
        <v>45575</v>
      </c>
      <c r="E229" s="9" t="s">
        <v>26</v>
      </c>
      <c r="F229" s="11">
        <v>15</v>
      </c>
      <c r="G229" s="9" t="s">
        <v>31</v>
      </c>
      <c r="H229" s="9" t="s">
        <v>26</v>
      </c>
      <c r="I229" s="11">
        <v>30</v>
      </c>
      <c r="J229" s="9" t="s">
        <v>26</v>
      </c>
      <c r="K229" s="11">
        <v>20</v>
      </c>
      <c r="L229" s="11">
        <v>3</v>
      </c>
      <c r="M229" s="11">
        <v>62</v>
      </c>
    </row>
    <row r="230" ht="16.5" customHeight="1">
      <c r="A230" s="9">
        <v>3459</v>
      </c>
      <c r="B230" s="9" t="s">
        <v>252</v>
      </c>
      <c r="C230" s="9" t="s">
        <v>34</v>
      </c>
      <c r="D230" s="10">
        <v>45576</v>
      </c>
      <c r="E230" s="9" t="s">
        <v>30</v>
      </c>
      <c r="F230" s="11">
        <v>10</v>
      </c>
      <c r="G230" s="9" t="s">
        <v>27</v>
      </c>
      <c r="H230" s="9" t="s">
        <v>30</v>
      </c>
      <c r="I230" s="11" t="s">
        <v>32</v>
      </c>
      <c r="J230" s="9" t="s">
        <v>26</v>
      </c>
      <c r="K230" s="11">
        <v>20</v>
      </c>
      <c r="L230" s="11">
        <v>10</v>
      </c>
      <c r="M230" s="11">
        <v>20</v>
      </c>
    </row>
    <row r="231" ht="16.5" customHeight="1">
      <c r="A231" s="9">
        <v>3460</v>
      </c>
      <c r="B231" s="9" t="s">
        <v>160</v>
      </c>
      <c r="C231" s="9" t="s">
        <v>29</v>
      </c>
      <c r="D231" s="10">
        <v>45577</v>
      </c>
      <c r="E231" s="9" t="s">
        <v>26</v>
      </c>
      <c r="F231" s="11">
        <v>5</v>
      </c>
      <c r="G231" s="9" t="s">
        <v>35</v>
      </c>
      <c r="H231" s="9" t="s">
        <v>30</v>
      </c>
      <c r="I231" s="11" t="s">
        <v>32</v>
      </c>
      <c r="J231" s="9" t="s">
        <v>30</v>
      </c>
      <c r="K231" s="11">
        <v>0</v>
      </c>
      <c r="L231" s="11">
        <v>0</v>
      </c>
      <c r="M231" s="11">
        <v>5</v>
      </c>
    </row>
    <row r="232" ht="16.5" customHeight="1">
      <c r="A232" s="9">
        <v>3461</v>
      </c>
      <c r="B232" s="9" t="s">
        <v>253</v>
      </c>
      <c r="C232" s="9" t="s">
        <v>25</v>
      </c>
      <c r="D232" s="10">
        <v>45578</v>
      </c>
      <c r="E232" s="9" t="s">
        <v>30</v>
      </c>
      <c r="F232" s="11">
        <v>15</v>
      </c>
      <c r="G232" s="9" t="s">
        <v>27</v>
      </c>
      <c r="H232" s="9" t="s">
        <v>26</v>
      </c>
      <c r="I232" s="11">
        <v>30</v>
      </c>
      <c r="J232" s="9" t="s">
        <v>26</v>
      </c>
      <c r="K232" s="11">
        <v>20</v>
      </c>
      <c r="L232" s="11">
        <v>15</v>
      </c>
      <c r="M232" s="11">
        <v>50</v>
      </c>
    </row>
    <row r="233" ht="16.5" customHeight="1">
      <c r="A233" s="9">
        <v>3462</v>
      </c>
      <c r="B233" s="9" t="s">
        <v>254</v>
      </c>
      <c r="C233" s="9" t="s">
        <v>34</v>
      </c>
      <c r="D233" s="10">
        <v>45579</v>
      </c>
      <c r="E233" s="9" t="s">
        <v>26</v>
      </c>
      <c r="F233" s="11">
        <v>10</v>
      </c>
      <c r="G233" s="9" t="s">
        <v>31</v>
      </c>
      <c r="H233" s="9" t="s">
        <v>30</v>
      </c>
      <c r="I233" s="11" t="s">
        <v>32</v>
      </c>
      <c r="J233" s="9" t="s">
        <v>26</v>
      </c>
      <c r="K233" s="11">
        <v>20</v>
      </c>
      <c r="L233" s="11">
        <v>15</v>
      </c>
      <c r="M233" s="11">
        <v>15</v>
      </c>
    </row>
    <row r="234" ht="16.5" customHeight="1">
      <c r="A234" s="9">
        <v>3463</v>
      </c>
      <c r="B234" s="9" t="s">
        <v>255</v>
      </c>
      <c r="C234" s="9" t="s">
        <v>29</v>
      </c>
      <c r="D234" s="10">
        <v>45580</v>
      </c>
      <c r="E234" s="9" t="s">
        <v>30</v>
      </c>
      <c r="F234" s="11">
        <v>5</v>
      </c>
      <c r="G234" s="9" t="s">
        <v>27</v>
      </c>
      <c r="H234" s="9" t="s">
        <v>30</v>
      </c>
      <c r="I234" s="11" t="s">
        <v>32</v>
      </c>
      <c r="J234" s="9" t="s">
        <v>30</v>
      </c>
      <c r="K234" s="11">
        <v>0</v>
      </c>
      <c r="L234" s="11">
        <v>1</v>
      </c>
      <c r="M234" s="11">
        <v>4</v>
      </c>
    </row>
    <row r="235" ht="16.5" customHeight="1">
      <c r="A235" s="9">
        <v>3464</v>
      </c>
      <c r="B235" s="9" t="s">
        <v>256</v>
      </c>
      <c r="C235" s="9" t="s">
        <v>25</v>
      </c>
      <c r="D235" s="10">
        <v>45581</v>
      </c>
      <c r="E235" s="9" t="s">
        <v>26</v>
      </c>
      <c r="F235" s="11">
        <v>15</v>
      </c>
      <c r="G235" s="9" t="s">
        <v>35</v>
      </c>
      <c r="H235" s="9" t="s">
        <v>26</v>
      </c>
      <c r="I235" s="11">
        <v>30</v>
      </c>
      <c r="J235" s="9" t="s">
        <v>26</v>
      </c>
      <c r="K235" s="11">
        <v>20</v>
      </c>
      <c r="L235" s="11">
        <v>7</v>
      </c>
      <c r="M235" s="11">
        <v>58</v>
      </c>
    </row>
    <row r="236" ht="16.5" customHeight="1">
      <c r="A236" s="9">
        <v>3465</v>
      </c>
      <c r="B236" s="9" t="s">
        <v>257</v>
      </c>
      <c r="C236" s="9" t="s">
        <v>34</v>
      </c>
      <c r="D236" s="10">
        <v>45582</v>
      </c>
      <c r="E236" s="9" t="s">
        <v>30</v>
      </c>
      <c r="F236" s="11">
        <v>10</v>
      </c>
      <c r="G236" s="9" t="s">
        <v>27</v>
      </c>
      <c r="H236" s="9" t="s">
        <v>30</v>
      </c>
      <c r="I236" s="11" t="s">
        <v>32</v>
      </c>
      <c r="J236" s="9" t="s">
        <v>26</v>
      </c>
      <c r="K236" s="11">
        <v>20</v>
      </c>
      <c r="L236" s="11">
        <v>10</v>
      </c>
      <c r="M236" s="11">
        <v>20</v>
      </c>
    </row>
    <row r="237" ht="16.5" customHeight="1">
      <c r="A237" s="9">
        <v>3466</v>
      </c>
      <c r="B237" s="9" t="s">
        <v>258</v>
      </c>
      <c r="C237" s="9" t="s">
        <v>29</v>
      </c>
      <c r="D237" s="10">
        <v>45583</v>
      </c>
      <c r="E237" s="9" t="s">
        <v>26</v>
      </c>
      <c r="F237" s="11">
        <v>5</v>
      </c>
      <c r="G237" s="9" t="s">
        <v>31</v>
      </c>
      <c r="H237" s="9" t="s">
        <v>30</v>
      </c>
      <c r="I237" s="11" t="s">
        <v>32</v>
      </c>
      <c r="J237" s="9" t="s">
        <v>30</v>
      </c>
      <c r="K237" s="11">
        <v>0</v>
      </c>
      <c r="L237" s="11">
        <v>0</v>
      </c>
      <c r="M237" s="11">
        <v>5</v>
      </c>
    </row>
    <row r="238" ht="16.5" customHeight="1">
      <c r="A238" s="9">
        <v>3467</v>
      </c>
      <c r="B238" s="9" t="s">
        <v>259</v>
      </c>
      <c r="C238" s="9" t="s">
        <v>25</v>
      </c>
      <c r="D238" s="10">
        <v>45584</v>
      </c>
      <c r="E238" s="9" t="s">
        <v>30</v>
      </c>
      <c r="F238" s="11">
        <v>15</v>
      </c>
      <c r="G238" s="9" t="s">
        <v>27</v>
      </c>
      <c r="H238" s="9" t="s">
        <v>26</v>
      </c>
      <c r="I238" s="11">
        <v>30</v>
      </c>
      <c r="J238" s="9" t="s">
        <v>26</v>
      </c>
      <c r="K238" s="11">
        <v>20</v>
      </c>
      <c r="L238" s="11">
        <v>15</v>
      </c>
      <c r="M238" s="11">
        <v>50</v>
      </c>
    </row>
    <row r="239" ht="16.5" customHeight="1">
      <c r="A239" s="9">
        <v>3468</v>
      </c>
      <c r="B239" s="9" t="s">
        <v>260</v>
      </c>
      <c r="C239" s="9" t="s">
        <v>34</v>
      </c>
      <c r="D239" s="10">
        <v>45585</v>
      </c>
      <c r="E239" s="9" t="s">
        <v>26</v>
      </c>
      <c r="F239" s="11">
        <v>10</v>
      </c>
      <c r="G239" s="9" t="s">
        <v>35</v>
      </c>
      <c r="H239" s="9" t="s">
        <v>30</v>
      </c>
      <c r="I239" s="11" t="s">
        <v>32</v>
      </c>
      <c r="J239" s="9" t="s">
        <v>26</v>
      </c>
      <c r="K239" s="11">
        <v>20</v>
      </c>
      <c r="L239" s="11">
        <v>12</v>
      </c>
      <c r="M239" s="11">
        <v>18</v>
      </c>
    </row>
    <row r="240" ht="16.5" customHeight="1">
      <c r="A240" s="9">
        <v>3469</v>
      </c>
      <c r="B240" s="9" t="s">
        <v>261</v>
      </c>
      <c r="C240" s="9" t="s">
        <v>29</v>
      </c>
      <c r="D240" s="10">
        <v>45586</v>
      </c>
      <c r="E240" s="9" t="s">
        <v>30</v>
      </c>
      <c r="F240" s="11">
        <v>5</v>
      </c>
      <c r="G240" s="9" t="s">
        <v>27</v>
      </c>
      <c r="H240" s="9" t="s">
        <v>30</v>
      </c>
      <c r="I240" s="11" t="s">
        <v>32</v>
      </c>
      <c r="J240" s="9" t="s">
        <v>30</v>
      </c>
      <c r="K240" s="11">
        <v>0</v>
      </c>
      <c r="L240" s="11">
        <v>2</v>
      </c>
      <c r="M240" s="11">
        <v>3</v>
      </c>
    </row>
    <row r="241" ht="16.5" customHeight="1">
      <c r="A241" s="9">
        <v>3470</v>
      </c>
      <c r="B241" s="9" t="s">
        <v>262</v>
      </c>
      <c r="C241" s="9" t="s">
        <v>25</v>
      </c>
      <c r="D241" s="10">
        <v>45587</v>
      </c>
      <c r="E241" s="9" t="s">
        <v>26</v>
      </c>
      <c r="F241" s="11">
        <v>15</v>
      </c>
      <c r="G241" s="9" t="s">
        <v>31</v>
      </c>
      <c r="H241" s="9" t="s">
        <v>26</v>
      </c>
      <c r="I241" s="11">
        <v>30</v>
      </c>
      <c r="J241" s="9" t="s">
        <v>26</v>
      </c>
      <c r="K241" s="11">
        <v>20</v>
      </c>
      <c r="L241" s="11">
        <v>5</v>
      </c>
      <c r="M241" s="11">
        <v>60</v>
      </c>
    </row>
    <row r="242" ht="16.5" customHeight="1">
      <c r="A242" s="9">
        <v>3471</v>
      </c>
      <c r="B242" s="9" t="s">
        <v>263</v>
      </c>
      <c r="C242" s="9" t="s">
        <v>34</v>
      </c>
      <c r="D242" s="10">
        <v>45588</v>
      </c>
      <c r="E242" s="9" t="s">
        <v>30</v>
      </c>
      <c r="F242" s="11">
        <v>10</v>
      </c>
      <c r="G242" s="9" t="s">
        <v>27</v>
      </c>
      <c r="H242" s="9" t="s">
        <v>30</v>
      </c>
      <c r="I242" s="11" t="s">
        <v>32</v>
      </c>
      <c r="J242" s="9" t="s">
        <v>26</v>
      </c>
      <c r="K242" s="11">
        <v>20</v>
      </c>
      <c r="L242" s="11">
        <v>10</v>
      </c>
      <c r="M242" s="11">
        <v>20</v>
      </c>
    </row>
    <row r="243" ht="16.5" customHeight="1">
      <c r="A243" s="9">
        <v>3472</v>
      </c>
      <c r="B243" s="9" t="s">
        <v>264</v>
      </c>
      <c r="C243" s="9" t="s">
        <v>29</v>
      </c>
      <c r="D243" s="10">
        <v>45589</v>
      </c>
      <c r="E243" s="9" t="s">
        <v>26</v>
      </c>
      <c r="F243" s="11">
        <v>5</v>
      </c>
      <c r="G243" s="9" t="s">
        <v>35</v>
      </c>
      <c r="H243" s="9" t="s">
        <v>30</v>
      </c>
      <c r="I243" s="11" t="s">
        <v>32</v>
      </c>
      <c r="J243" s="9" t="s">
        <v>30</v>
      </c>
      <c r="K243" s="11">
        <v>0</v>
      </c>
      <c r="L243" s="11">
        <v>0</v>
      </c>
      <c r="M243" s="11">
        <v>5</v>
      </c>
    </row>
    <row r="244" ht="16.5" customHeight="1">
      <c r="A244" s="9">
        <v>3473</v>
      </c>
      <c r="B244" s="9" t="s">
        <v>173</v>
      </c>
      <c r="C244" s="9" t="s">
        <v>25</v>
      </c>
      <c r="D244" s="10">
        <v>45590</v>
      </c>
      <c r="E244" s="9" t="s">
        <v>30</v>
      </c>
      <c r="F244" s="11">
        <v>15</v>
      </c>
      <c r="G244" s="9" t="s">
        <v>27</v>
      </c>
      <c r="H244" s="9" t="s">
        <v>26</v>
      </c>
      <c r="I244" s="11">
        <v>30</v>
      </c>
      <c r="J244" s="9" t="s">
        <v>26</v>
      </c>
      <c r="K244" s="11">
        <v>20</v>
      </c>
      <c r="L244" s="11">
        <v>3</v>
      </c>
      <c r="M244" s="11">
        <v>62</v>
      </c>
    </row>
    <row r="245" ht="16.5" customHeight="1">
      <c r="A245" s="9">
        <v>3474</v>
      </c>
      <c r="B245" s="9" t="s">
        <v>265</v>
      </c>
      <c r="C245" s="9" t="s">
        <v>34</v>
      </c>
      <c r="D245" s="10">
        <v>45591</v>
      </c>
      <c r="E245" s="9" t="s">
        <v>26</v>
      </c>
      <c r="F245" s="11">
        <v>10</v>
      </c>
      <c r="G245" s="9" t="s">
        <v>31</v>
      </c>
      <c r="H245" s="9" t="s">
        <v>30</v>
      </c>
      <c r="I245" s="11" t="s">
        <v>32</v>
      </c>
      <c r="J245" s="9" t="s">
        <v>26</v>
      </c>
      <c r="K245" s="11">
        <v>20</v>
      </c>
      <c r="L245" s="11">
        <v>15</v>
      </c>
      <c r="M245" s="11">
        <v>15</v>
      </c>
    </row>
    <row r="246" ht="16.5" customHeight="1">
      <c r="A246" s="9">
        <v>3475</v>
      </c>
      <c r="B246" s="9" t="s">
        <v>266</v>
      </c>
      <c r="C246" s="9" t="s">
        <v>29</v>
      </c>
      <c r="D246" s="10">
        <v>45592</v>
      </c>
      <c r="E246" s="9" t="s">
        <v>30</v>
      </c>
      <c r="F246" s="11">
        <v>5</v>
      </c>
      <c r="G246" s="9" t="s">
        <v>27</v>
      </c>
      <c r="H246" s="9" t="s">
        <v>30</v>
      </c>
      <c r="I246" s="11" t="s">
        <v>32</v>
      </c>
      <c r="J246" s="9" t="s">
        <v>30</v>
      </c>
      <c r="K246" s="11">
        <v>0</v>
      </c>
      <c r="L246" s="11">
        <v>1</v>
      </c>
      <c r="M246" s="11">
        <v>4</v>
      </c>
    </row>
    <row r="247" ht="16.5" customHeight="1">
      <c r="A247" s="9">
        <v>3476</v>
      </c>
      <c r="B247" s="9" t="s">
        <v>267</v>
      </c>
      <c r="C247" s="9" t="s">
        <v>25</v>
      </c>
      <c r="D247" s="10">
        <v>45593</v>
      </c>
      <c r="E247" s="9" t="s">
        <v>26</v>
      </c>
      <c r="F247" s="11">
        <v>15</v>
      </c>
      <c r="G247" s="9" t="s">
        <v>35</v>
      </c>
      <c r="H247" s="9" t="s">
        <v>26</v>
      </c>
      <c r="I247" s="11">
        <v>30</v>
      </c>
      <c r="J247" s="9" t="s">
        <v>26</v>
      </c>
      <c r="K247" s="11">
        <v>20</v>
      </c>
      <c r="L247" s="11">
        <v>7</v>
      </c>
      <c r="M247" s="11">
        <v>58</v>
      </c>
    </row>
    <row r="248" ht="16.5" customHeight="1">
      <c r="A248" s="9">
        <v>3477</v>
      </c>
      <c r="B248" s="9" t="s">
        <v>268</v>
      </c>
      <c r="C248" s="9" t="s">
        <v>34</v>
      </c>
      <c r="D248" s="10">
        <v>45594</v>
      </c>
      <c r="E248" s="9" t="s">
        <v>30</v>
      </c>
      <c r="F248" s="11">
        <v>10</v>
      </c>
      <c r="G248" s="9" t="s">
        <v>27</v>
      </c>
      <c r="H248" s="9" t="s">
        <v>30</v>
      </c>
      <c r="I248" s="11" t="s">
        <v>32</v>
      </c>
      <c r="J248" s="9" t="s">
        <v>26</v>
      </c>
      <c r="K248" s="11">
        <v>20</v>
      </c>
      <c r="L248" s="11">
        <v>10</v>
      </c>
      <c r="M248" s="11">
        <v>20</v>
      </c>
    </row>
    <row r="249" ht="16.5" customHeight="1">
      <c r="A249" s="9">
        <v>3478</v>
      </c>
      <c r="B249" s="9" t="s">
        <v>269</v>
      </c>
      <c r="C249" s="9" t="s">
        <v>29</v>
      </c>
      <c r="D249" s="10">
        <v>45595</v>
      </c>
      <c r="E249" s="9" t="s">
        <v>26</v>
      </c>
      <c r="F249" s="11">
        <v>5</v>
      </c>
      <c r="G249" s="9" t="s">
        <v>31</v>
      </c>
      <c r="H249" s="9" t="s">
        <v>30</v>
      </c>
      <c r="I249" s="11" t="s">
        <v>32</v>
      </c>
      <c r="J249" s="9" t="s">
        <v>30</v>
      </c>
      <c r="K249" s="11">
        <v>0</v>
      </c>
      <c r="L249" s="11">
        <v>0</v>
      </c>
      <c r="M249" s="11">
        <v>5</v>
      </c>
    </row>
    <row r="250" ht="16.5" customHeight="1">
      <c r="A250" s="9">
        <v>3479</v>
      </c>
      <c r="B250" s="9" t="s">
        <v>270</v>
      </c>
      <c r="C250" s="9" t="s">
        <v>25</v>
      </c>
      <c r="D250" s="10">
        <v>45596</v>
      </c>
      <c r="E250" s="9" t="s">
        <v>30</v>
      </c>
      <c r="F250" s="11">
        <v>15</v>
      </c>
      <c r="G250" s="9" t="s">
        <v>27</v>
      </c>
      <c r="H250" s="9" t="s">
        <v>26</v>
      </c>
      <c r="I250" s="11">
        <v>30</v>
      </c>
      <c r="J250" s="9" t="s">
        <v>26</v>
      </c>
      <c r="K250" s="11">
        <v>20</v>
      </c>
      <c r="L250" s="11">
        <v>20</v>
      </c>
      <c r="M250" s="11">
        <v>45</v>
      </c>
    </row>
    <row r="251" ht="16.5" customHeight="1">
      <c r="A251" s="9">
        <v>3480</v>
      </c>
      <c r="B251" s="9" t="s">
        <v>271</v>
      </c>
      <c r="C251" s="9" t="s">
        <v>34</v>
      </c>
      <c r="D251" s="10">
        <v>45597</v>
      </c>
      <c r="E251" s="9" t="s">
        <v>26</v>
      </c>
      <c r="F251" s="11">
        <v>10</v>
      </c>
      <c r="G251" s="9" t="s">
        <v>35</v>
      </c>
      <c r="H251" s="9" t="s">
        <v>30</v>
      </c>
      <c r="I251" s="11" t="s">
        <v>32</v>
      </c>
      <c r="J251" s="9" t="s">
        <v>26</v>
      </c>
      <c r="K251" s="11">
        <v>20</v>
      </c>
      <c r="L251" s="11">
        <v>15</v>
      </c>
      <c r="M251" s="11">
        <v>15</v>
      </c>
    </row>
    <row r="252" ht="16.5" customHeight="1">
      <c r="A252" s="9">
        <v>3481</v>
      </c>
      <c r="B252" s="9" t="s">
        <v>272</v>
      </c>
      <c r="C252" s="9" t="s">
        <v>29</v>
      </c>
      <c r="D252" s="10">
        <v>45598</v>
      </c>
      <c r="E252" s="9" t="s">
        <v>30</v>
      </c>
      <c r="F252" s="11">
        <v>5</v>
      </c>
      <c r="G252" s="9" t="s">
        <v>27</v>
      </c>
      <c r="H252" s="9" t="s">
        <v>30</v>
      </c>
      <c r="I252" s="11" t="s">
        <v>32</v>
      </c>
      <c r="J252" s="9" t="s">
        <v>30</v>
      </c>
      <c r="K252" s="11">
        <v>0</v>
      </c>
      <c r="L252" s="11">
        <v>1</v>
      </c>
      <c r="M252" s="11">
        <v>4</v>
      </c>
    </row>
    <row r="253" ht="16.5" customHeight="1">
      <c r="A253" s="9">
        <v>3482</v>
      </c>
      <c r="B253" s="9" t="s">
        <v>273</v>
      </c>
      <c r="C253" s="9" t="s">
        <v>25</v>
      </c>
      <c r="D253" s="10">
        <v>45599</v>
      </c>
      <c r="E253" s="9" t="s">
        <v>26</v>
      </c>
      <c r="F253" s="11">
        <v>15</v>
      </c>
      <c r="G253" s="9" t="s">
        <v>31</v>
      </c>
      <c r="H253" s="9" t="s">
        <v>26</v>
      </c>
      <c r="I253" s="11">
        <v>30</v>
      </c>
      <c r="J253" s="9" t="s">
        <v>26</v>
      </c>
      <c r="K253" s="11">
        <v>20</v>
      </c>
      <c r="L253" s="11">
        <v>3</v>
      </c>
      <c r="M253" s="11">
        <v>62</v>
      </c>
    </row>
    <row r="254" ht="16.5" customHeight="1">
      <c r="A254" s="9">
        <v>3483</v>
      </c>
      <c r="B254" s="9" t="s">
        <v>274</v>
      </c>
      <c r="C254" s="9" t="s">
        <v>34</v>
      </c>
      <c r="D254" s="10">
        <v>45600</v>
      </c>
      <c r="E254" s="9" t="s">
        <v>30</v>
      </c>
      <c r="F254" s="11">
        <v>10</v>
      </c>
      <c r="G254" s="9" t="s">
        <v>27</v>
      </c>
      <c r="H254" s="9" t="s">
        <v>30</v>
      </c>
      <c r="I254" s="11" t="s">
        <v>32</v>
      </c>
      <c r="J254" s="9" t="s">
        <v>26</v>
      </c>
      <c r="K254" s="11">
        <v>20</v>
      </c>
      <c r="L254" s="11">
        <v>10</v>
      </c>
      <c r="M254" s="11">
        <v>20</v>
      </c>
    </row>
    <row r="255" ht="16.5" customHeight="1">
      <c r="A255" s="9">
        <v>3484</v>
      </c>
      <c r="B255" s="9" t="s">
        <v>275</v>
      </c>
      <c r="C255" s="9" t="s">
        <v>29</v>
      </c>
      <c r="D255" s="10">
        <v>45601</v>
      </c>
      <c r="E255" s="9" t="s">
        <v>26</v>
      </c>
      <c r="F255" s="11">
        <v>5</v>
      </c>
      <c r="G255" s="9" t="s">
        <v>35</v>
      </c>
      <c r="H255" s="9" t="s">
        <v>30</v>
      </c>
      <c r="I255" s="11" t="s">
        <v>32</v>
      </c>
      <c r="J255" s="9" t="s">
        <v>30</v>
      </c>
      <c r="K255" s="11">
        <v>0</v>
      </c>
      <c r="L255" s="11">
        <v>0</v>
      </c>
      <c r="M255" s="11">
        <v>5</v>
      </c>
    </row>
    <row r="256" ht="16.5" customHeight="1">
      <c r="A256" s="9">
        <v>3485</v>
      </c>
      <c r="B256" s="9" t="s">
        <v>276</v>
      </c>
      <c r="C256" s="9" t="s">
        <v>25</v>
      </c>
      <c r="D256" s="10">
        <v>45602</v>
      </c>
      <c r="E256" s="9" t="s">
        <v>30</v>
      </c>
      <c r="F256" s="11">
        <v>15</v>
      </c>
      <c r="G256" s="9" t="s">
        <v>27</v>
      </c>
      <c r="H256" s="9" t="s">
        <v>26</v>
      </c>
      <c r="I256" s="11">
        <v>30</v>
      </c>
      <c r="J256" s="9" t="s">
        <v>26</v>
      </c>
      <c r="K256" s="11">
        <v>20</v>
      </c>
      <c r="L256" s="11">
        <v>15</v>
      </c>
      <c r="M256" s="11">
        <v>50</v>
      </c>
    </row>
    <row r="257" ht="16.5" customHeight="1">
      <c r="A257" s="9">
        <v>3486</v>
      </c>
      <c r="B257" s="9" t="s">
        <v>277</v>
      </c>
      <c r="C257" s="9" t="s">
        <v>29</v>
      </c>
      <c r="D257" s="10">
        <v>45603</v>
      </c>
      <c r="E257" s="9" t="s">
        <v>26</v>
      </c>
      <c r="F257" s="11">
        <v>5</v>
      </c>
      <c r="G257" s="9" t="s">
        <v>27</v>
      </c>
      <c r="H257" s="9" t="s">
        <v>30</v>
      </c>
      <c r="I257" s="11" t="s">
        <v>32</v>
      </c>
      <c r="J257" s="9" t="s">
        <v>30</v>
      </c>
      <c r="K257" s="11">
        <v>0</v>
      </c>
      <c r="L257" s="11">
        <v>0</v>
      </c>
      <c r="M257" s="11">
        <v>5</v>
      </c>
    </row>
    <row r="258" ht="16.5" customHeight="1">
      <c r="A258" s="9">
        <v>3487</v>
      </c>
      <c r="B258" s="9" t="s">
        <v>278</v>
      </c>
      <c r="C258" s="9" t="s">
        <v>25</v>
      </c>
      <c r="D258" s="10">
        <v>45604</v>
      </c>
      <c r="E258" s="9" t="s">
        <v>30</v>
      </c>
      <c r="F258" s="11">
        <v>15</v>
      </c>
      <c r="G258" s="9" t="s">
        <v>35</v>
      </c>
      <c r="H258" s="9" t="s">
        <v>26</v>
      </c>
      <c r="I258" s="11">
        <v>30</v>
      </c>
      <c r="J258" s="9" t="s">
        <v>26</v>
      </c>
      <c r="K258" s="11">
        <v>20</v>
      </c>
      <c r="L258" s="11">
        <v>7</v>
      </c>
      <c r="M258" s="11">
        <v>58</v>
      </c>
    </row>
    <row r="259" ht="16.5" customHeight="1">
      <c r="A259" s="9">
        <v>3488</v>
      </c>
      <c r="B259" s="9" t="s">
        <v>279</v>
      </c>
      <c r="C259" s="9" t="s">
        <v>34</v>
      </c>
      <c r="D259" s="10">
        <v>45605</v>
      </c>
      <c r="E259" s="9" t="s">
        <v>26</v>
      </c>
      <c r="F259" s="11">
        <v>10</v>
      </c>
      <c r="G259" s="9" t="s">
        <v>31</v>
      </c>
      <c r="H259" s="9" t="s">
        <v>30</v>
      </c>
      <c r="I259" s="11" t="s">
        <v>32</v>
      </c>
      <c r="J259" s="9" t="s">
        <v>26</v>
      </c>
      <c r="K259" s="11">
        <v>20</v>
      </c>
      <c r="L259" s="11">
        <v>10</v>
      </c>
      <c r="M259" s="11">
        <v>20</v>
      </c>
    </row>
    <row r="260" ht="16.5" customHeight="1">
      <c r="A260" s="9">
        <v>3489</v>
      </c>
      <c r="B260" s="9" t="s">
        <v>280</v>
      </c>
      <c r="C260" s="9" t="s">
        <v>29</v>
      </c>
      <c r="D260" s="10">
        <v>45606</v>
      </c>
      <c r="E260" s="9" t="s">
        <v>30</v>
      </c>
      <c r="F260" s="11">
        <v>5</v>
      </c>
      <c r="G260" s="9" t="s">
        <v>35</v>
      </c>
      <c r="H260" s="9" t="s">
        <v>30</v>
      </c>
      <c r="I260" s="11" t="s">
        <v>32</v>
      </c>
      <c r="J260" s="9" t="s">
        <v>30</v>
      </c>
      <c r="K260" s="11">
        <v>0</v>
      </c>
      <c r="L260" s="11">
        <v>1</v>
      </c>
      <c r="M260" s="11">
        <v>4</v>
      </c>
    </row>
    <row r="261" ht="16.5" customHeight="1">
      <c r="A261" s="9">
        <v>3490</v>
      </c>
      <c r="B261" s="9" t="s">
        <v>281</v>
      </c>
      <c r="C261" s="9" t="s">
        <v>25</v>
      </c>
      <c r="D261" s="10">
        <v>45607</v>
      </c>
      <c r="E261" s="9" t="s">
        <v>26</v>
      </c>
      <c r="F261" s="11">
        <v>15</v>
      </c>
      <c r="G261" s="9" t="s">
        <v>27</v>
      </c>
      <c r="H261" s="9" t="s">
        <v>26</v>
      </c>
      <c r="I261" s="11">
        <v>30</v>
      </c>
      <c r="J261" s="9" t="s">
        <v>26</v>
      </c>
      <c r="K261" s="11">
        <v>20</v>
      </c>
      <c r="L261" s="11">
        <v>15</v>
      </c>
      <c r="M261" s="11">
        <v>50</v>
      </c>
    </row>
    <row r="262" ht="16.5" customHeight="1">
      <c r="A262" s="9">
        <v>3491</v>
      </c>
      <c r="B262" s="9" t="s">
        <v>282</v>
      </c>
      <c r="C262" s="9" t="s">
        <v>34</v>
      </c>
      <c r="D262" s="10">
        <v>45608</v>
      </c>
      <c r="E262" s="9" t="s">
        <v>30</v>
      </c>
      <c r="F262" s="11">
        <v>10</v>
      </c>
      <c r="G262" s="9" t="s">
        <v>27</v>
      </c>
      <c r="H262" s="9" t="s">
        <v>30</v>
      </c>
      <c r="I262" s="11" t="s">
        <v>32</v>
      </c>
      <c r="J262" s="9" t="s">
        <v>26</v>
      </c>
      <c r="K262" s="11">
        <v>20</v>
      </c>
      <c r="L262" s="11">
        <v>5</v>
      </c>
      <c r="M262" s="11">
        <v>25</v>
      </c>
    </row>
    <row r="263" ht="16.5" customHeight="1">
      <c r="A263" s="9">
        <v>3492</v>
      </c>
      <c r="B263" s="9" t="s">
        <v>283</v>
      </c>
      <c r="C263" s="9" t="s">
        <v>29</v>
      </c>
      <c r="D263" s="10">
        <v>45609</v>
      </c>
      <c r="E263" s="9" t="s">
        <v>26</v>
      </c>
      <c r="F263" s="11">
        <v>5</v>
      </c>
      <c r="G263" s="9" t="s">
        <v>31</v>
      </c>
      <c r="H263" s="9" t="s">
        <v>30</v>
      </c>
      <c r="I263" s="11" t="s">
        <v>32</v>
      </c>
      <c r="J263" s="9" t="s">
        <v>30</v>
      </c>
      <c r="K263" s="11">
        <v>0</v>
      </c>
      <c r="L263" s="11">
        <v>0</v>
      </c>
      <c r="M263" s="11">
        <v>5</v>
      </c>
    </row>
    <row r="264" ht="16.5" customHeight="1">
      <c r="A264" s="9">
        <v>3493</v>
      </c>
      <c r="B264" s="9" t="s">
        <v>284</v>
      </c>
      <c r="C264" s="9" t="s">
        <v>25</v>
      </c>
      <c r="D264" s="10">
        <v>45610</v>
      </c>
      <c r="E264" s="9" t="s">
        <v>30</v>
      </c>
      <c r="F264" s="11">
        <v>15</v>
      </c>
      <c r="G264" s="9" t="s">
        <v>35</v>
      </c>
      <c r="H264" s="9" t="s">
        <v>26</v>
      </c>
      <c r="I264" s="11">
        <v>30</v>
      </c>
      <c r="J264" s="9" t="s">
        <v>26</v>
      </c>
      <c r="K264" s="11">
        <v>20</v>
      </c>
      <c r="L264" s="11">
        <v>20</v>
      </c>
      <c r="M264" s="11">
        <v>45</v>
      </c>
    </row>
    <row r="265" ht="16.5" customHeight="1">
      <c r="A265" s="9">
        <v>3494</v>
      </c>
      <c r="B265" s="9" t="s">
        <v>285</v>
      </c>
      <c r="C265" s="9" t="s">
        <v>34</v>
      </c>
      <c r="D265" s="10">
        <v>45611</v>
      </c>
      <c r="E265" s="9" t="s">
        <v>26</v>
      </c>
      <c r="F265" s="11">
        <v>10</v>
      </c>
      <c r="G265" s="9" t="s">
        <v>35</v>
      </c>
      <c r="H265" s="9" t="s">
        <v>30</v>
      </c>
      <c r="I265" s="11" t="s">
        <v>32</v>
      </c>
      <c r="J265" s="9" t="s">
        <v>26</v>
      </c>
      <c r="K265" s="11">
        <v>20</v>
      </c>
      <c r="L265" s="11">
        <v>12</v>
      </c>
      <c r="M265" s="11">
        <v>18</v>
      </c>
    </row>
    <row r="266" ht="16.5" customHeight="1">
      <c r="A266" s="9">
        <v>3495</v>
      </c>
      <c r="B266" s="9" t="s">
        <v>286</v>
      </c>
      <c r="C266" s="9" t="s">
        <v>29</v>
      </c>
      <c r="D266" s="10">
        <v>45612</v>
      </c>
      <c r="E266" s="9" t="s">
        <v>30</v>
      </c>
      <c r="F266" s="11">
        <v>5</v>
      </c>
      <c r="G266" s="9" t="s">
        <v>27</v>
      </c>
      <c r="H266" s="9" t="s">
        <v>30</v>
      </c>
      <c r="I266" s="11" t="s">
        <v>32</v>
      </c>
      <c r="J266" s="9" t="s">
        <v>30</v>
      </c>
      <c r="K266" s="11">
        <v>0</v>
      </c>
      <c r="L266" s="11">
        <v>2</v>
      </c>
      <c r="M266" s="11">
        <v>3</v>
      </c>
    </row>
    <row r="267" ht="16.5" customHeight="1">
      <c r="A267" s="9">
        <v>3496</v>
      </c>
      <c r="B267" s="9" t="s">
        <v>287</v>
      </c>
      <c r="C267" s="9" t="s">
        <v>25</v>
      </c>
      <c r="D267" s="10">
        <v>45613</v>
      </c>
      <c r="E267" s="9" t="s">
        <v>26</v>
      </c>
      <c r="F267" s="11">
        <v>15</v>
      </c>
      <c r="G267" s="9" t="s">
        <v>31</v>
      </c>
      <c r="H267" s="9" t="s">
        <v>26</v>
      </c>
      <c r="I267" s="11">
        <v>30</v>
      </c>
      <c r="J267" s="9" t="s">
        <v>26</v>
      </c>
      <c r="K267" s="11">
        <v>20</v>
      </c>
      <c r="L267" s="11">
        <v>5</v>
      </c>
      <c r="M267" s="11">
        <v>60</v>
      </c>
    </row>
    <row r="268" ht="16.5" customHeight="1">
      <c r="A268" s="9">
        <v>3497</v>
      </c>
      <c r="B268" s="9" t="s">
        <v>288</v>
      </c>
      <c r="C268" s="9" t="s">
        <v>34</v>
      </c>
      <c r="D268" s="10">
        <v>45614</v>
      </c>
      <c r="E268" s="9" t="s">
        <v>30</v>
      </c>
      <c r="F268" s="11">
        <v>10</v>
      </c>
      <c r="G268" s="9" t="s">
        <v>27</v>
      </c>
      <c r="H268" s="9" t="s">
        <v>30</v>
      </c>
      <c r="I268" s="11" t="s">
        <v>32</v>
      </c>
      <c r="J268" s="9" t="s">
        <v>26</v>
      </c>
      <c r="K268" s="11">
        <v>20</v>
      </c>
      <c r="L268" s="11">
        <v>10</v>
      </c>
      <c r="M268" s="11">
        <v>20</v>
      </c>
    </row>
    <row r="269" ht="16.5" customHeight="1">
      <c r="A269" s="9">
        <v>3498</v>
      </c>
      <c r="B269" s="9" t="s">
        <v>289</v>
      </c>
      <c r="C269" s="9" t="s">
        <v>29</v>
      </c>
      <c r="D269" s="10">
        <v>45615</v>
      </c>
      <c r="E269" s="9" t="s">
        <v>26</v>
      </c>
      <c r="F269" s="11">
        <v>5</v>
      </c>
      <c r="G269" s="9" t="s">
        <v>35</v>
      </c>
      <c r="H269" s="9" t="s">
        <v>30</v>
      </c>
      <c r="I269" s="11" t="s">
        <v>32</v>
      </c>
      <c r="J269" s="9" t="s">
        <v>30</v>
      </c>
      <c r="K269" s="11">
        <v>0</v>
      </c>
      <c r="L269" s="11">
        <v>0</v>
      </c>
      <c r="M269" s="11">
        <v>5</v>
      </c>
    </row>
    <row r="270" ht="16.5" customHeight="1">
      <c r="A270" s="9">
        <v>3499</v>
      </c>
      <c r="B270" s="9" t="s">
        <v>290</v>
      </c>
      <c r="C270" s="9" t="s">
        <v>25</v>
      </c>
      <c r="D270" s="10">
        <v>45616</v>
      </c>
      <c r="E270" s="9" t="s">
        <v>30</v>
      </c>
      <c r="F270" s="11">
        <v>15</v>
      </c>
      <c r="G270" s="9" t="s">
        <v>27</v>
      </c>
      <c r="H270" s="9" t="s">
        <v>26</v>
      </c>
      <c r="I270" s="11">
        <v>30</v>
      </c>
      <c r="J270" s="9" t="s">
        <v>26</v>
      </c>
      <c r="K270" s="11">
        <v>20</v>
      </c>
      <c r="L270" s="11">
        <v>3</v>
      </c>
      <c r="M270" s="11">
        <v>62</v>
      </c>
    </row>
    <row r="271" ht="16.5" customHeight="1">
      <c r="A271" s="9">
        <v>3500</v>
      </c>
      <c r="B271" s="9" t="s">
        <v>291</v>
      </c>
      <c r="C271" s="9" t="s">
        <v>34</v>
      </c>
      <c r="D271" s="10">
        <v>45617</v>
      </c>
      <c r="E271" s="9" t="s">
        <v>26</v>
      </c>
      <c r="F271" s="11">
        <v>10</v>
      </c>
      <c r="G271" s="9" t="s">
        <v>31</v>
      </c>
      <c r="H271" s="9" t="s">
        <v>30</v>
      </c>
      <c r="I271" s="11" t="s">
        <v>32</v>
      </c>
      <c r="J271" s="9" t="s">
        <v>26</v>
      </c>
      <c r="K271" s="11">
        <v>20</v>
      </c>
      <c r="L271" s="11">
        <v>15</v>
      </c>
      <c r="M271" s="11">
        <v>15</v>
      </c>
    </row>
    <row r="272" ht="16.5" customHeight="1">
      <c r="A272" s="9">
        <v>3501</v>
      </c>
      <c r="B272" s="9" t="s">
        <v>292</v>
      </c>
      <c r="C272" s="9" t="s">
        <v>29</v>
      </c>
      <c r="D272" s="10">
        <v>45618</v>
      </c>
      <c r="E272" s="9" t="s">
        <v>30</v>
      </c>
      <c r="F272" s="11">
        <v>5</v>
      </c>
      <c r="G272" s="9" t="s">
        <v>27</v>
      </c>
      <c r="H272" s="9" t="s">
        <v>30</v>
      </c>
      <c r="I272" s="11" t="s">
        <v>32</v>
      </c>
      <c r="J272" s="9" t="s">
        <v>30</v>
      </c>
      <c r="K272" s="11">
        <v>0</v>
      </c>
      <c r="L272" s="11">
        <v>1</v>
      </c>
      <c r="M272" s="11">
        <v>4</v>
      </c>
    </row>
    <row r="273" ht="16.5" customHeight="1">
      <c r="A273" s="9">
        <v>3502</v>
      </c>
      <c r="B273" s="9" t="s">
        <v>293</v>
      </c>
      <c r="C273" s="9" t="s">
        <v>25</v>
      </c>
      <c r="D273" s="10">
        <v>45619</v>
      </c>
      <c r="E273" s="9" t="s">
        <v>26</v>
      </c>
      <c r="F273" s="11">
        <v>15</v>
      </c>
      <c r="G273" s="9" t="s">
        <v>35</v>
      </c>
      <c r="H273" s="9" t="s">
        <v>26</v>
      </c>
      <c r="I273" s="11">
        <v>30</v>
      </c>
      <c r="J273" s="9" t="s">
        <v>26</v>
      </c>
      <c r="K273" s="11">
        <v>20</v>
      </c>
      <c r="L273" s="11">
        <v>7</v>
      </c>
      <c r="M273" s="11">
        <v>58</v>
      </c>
    </row>
    <row r="274" ht="16.5" customHeight="1">
      <c r="A274" s="9">
        <v>3503</v>
      </c>
      <c r="B274" s="9" t="s">
        <v>152</v>
      </c>
      <c r="C274" s="9" t="s">
        <v>34</v>
      </c>
      <c r="D274" s="10">
        <v>45620</v>
      </c>
      <c r="E274" s="9" t="s">
        <v>30</v>
      </c>
      <c r="F274" s="11">
        <v>10</v>
      </c>
      <c r="G274" s="9" t="s">
        <v>27</v>
      </c>
      <c r="H274" s="9" t="s">
        <v>30</v>
      </c>
      <c r="I274" s="11" t="s">
        <v>32</v>
      </c>
      <c r="J274" s="9" t="s">
        <v>26</v>
      </c>
      <c r="K274" s="11">
        <v>20</v>
      </c>
      <c r="L274" s="11">
        <v>10</v>
      </c>
      <c r="M274" s="11">
        <v>20</v>
      </c>
    </row>
    <row r="275" ht="16.5" customHeight="1">
      <c r="A275" s="9">
        <v>3504</v>
      </c>
      <c r="B275" s="9" t="s">
        <v>294</v>
      </c>
      <c r="C275" s="9" t="s">
        <v>29</v>
      </c>
      <c r="D275" s="10">
        <v>45621</v>
      </c>
      <c r="E275" s="9" t="s">
        <v>26</v>
      </c>
      <c r="F275" s="11">
        <v>5</v>
      </c>
      <c r="G275" s="9" t="s">
        <v>31</v>
      </c>
      <c r="H275" s="9" t="s">
        <v>30</v>
      </c>
      <c r="I275" s="11" t="s">
        <v>32</v>
      </c>
      <c r="J275" s="9" t="s">
        <v>30</v>
      </c>
      <c r="K275" s="11">
        <v>0</v>
      </c>
      <c r="L275" s="11">
        <v>0</v>
      </c>
      <c r="M275" s="11">
        <v>5</v>
      </c>
    </row>
    <row r="276" ht="16.5" customHeight="1">
      <c r="A276" s="9">
        <v>3505</v>
      </c>
      <c r="B276" s="9" t="s">
        <v>295</v>
      </c>
      <c r="C276" s="9" t="s">
        <v>25</v>
      </c>
      <c r="D276" s="10">
        <v>45622</v>
      </c>
      <c r="E276" s="9" t="s">
        <v>30</v>
      </c>
      <c r="F276" s="11">
        <v>15</v>
      </c>
      <c r="G276" s="9" t="s">
        <v>27</v>
      </c>
      <c r="H276" s="9" t="s">
        <v>26</v>
      </c>
      <c r="I276" s="11">
        <v>30</v>
      </c>
      <c r="J276" s="9" t="s">
        <v>26</v>
      </c>
      <c r="K276" s="11">
        <v>20</v>
      </c>
      <c r="L276" s="11">
        <v>20</v>
      </c>
      <c r="M276" s="11">
        <v>45</v>
      </c>
    </row>
    <row r="277" ht="16.5" customHeight="1">
      <c r="A277" s="9">
        <v>3506</v>
      </c>
      <c r="B277" s="9" t="s">
        <v>296</v>
      </c>
      <c r="C277" s="9" t="s">
        <v>34</v>
      </c>
      <c r="D277" s="10">
        <v>45623</v>
      </c>
      <c r="E277" s="9" t="s">
        <v>26</v>
      </c>
      <c r="F277" s="11">
        <v>10</v>
      </c>
      <c r="G277" s="9" t="s">
        <v>35</v>
      </c>
      <c r="H277" s="9" t="s">
        <v>30</v>
      </c>
      <c r="I277" s="11" t="s">
        <v>32</v>
      </c>
      <c r="J277" s="9" t="s">
        <v>26</v>
      </c>
      <c r="K277" s="11">
        <v>20</v>
      </c>
      <c r="L277" s="11">
        <v>15</v>
      </c>
      <c r="M277" s="11">
        <v>15</v>
      </c>
    </row>
    <row r="278" ht="16.5" customHeight="1">
      <c r="A278" s="9">
        <v>3507</v>
      </c>
      <c r="B278" s="9" t="s">
        <v>297</v>
      </c>
      <c r="C278" s="9" t="s">
        <v>29</v>
      </c>
      <c r="D278" s="10">
        <v>45624</v>
      </c>
      <c r="E278" s="9" t="s">
        <v>30</v>
      </c>
      <c r="F278" s="11">
        <v>5</v>
      </c>
      <c r="G278" s="9" t="s">
        <v>27</v>
      </c>
      <c r="H278" s="9" t="s">
        <v>30</v>
      </c>
      <c r="I278" s="11" t="s">
        <v>32</v>
      </c>
      <c r="J278" s="9" t="s">
        <v>30</v>
      </c>
      <c r="K278" s="11">
        <v>0</v>
      </c>
      <c r="L278" s="11">
        <v>1</v>
      </c>
      <c r="M278" s="11">
        <v>4</v>
      </c>
    </row>
    <row r="279" ht="16.5" customHeight="1">
      <c r="A279" s="9">
        <v>3508</v>
      </c>
      <c r="B279" s="9" t="s">
        <v>298</v>
      </c>
      <c r="C279" s="9" t="s">
        <v>25</v>
      </c>
      <c r="D279" s="10">
        <v>45625</v>
      </c>
      <c r="E279" s="9" t="s">
        <v>26</v>
      </c>
      <c r="F279" s="11">
        <v>15</v>
      </c>
      <c r="G279" s="9" t="s">
        <v>31</v>
      </c>
      <c r="H279" s="9" t="s">
        <v>26</v>
      </c>
      <c r="I279" s="11">
        <v>30</v>
      </c>
      <c r="J279" s="9" t="s">
        <v>26</v>
      </c>
      <c r="K279" s="11">
        <v>20</v>
      </c>
      <c r="L279" s="11">
        <v>3</v>
      </c>
      <c r="M279" s="11">
        <v>62</v>
      </c>
    </row>
    <row r="280" ht="16.5" customHeight="1">
      <c r="A280" s="9">
        <v>3509</v>
      </c>
      <c r="B280" s="9" t="s">
        <v>299</v>
      </c>
      <c r="C280" s="9" t="s">
        <v>34</v>
      </c>
      <c r="D280" s="10">
        <v>45626</v>
      </c>
      <c r="E280" s="9" t="s">
        <v>30</v>
      </c>
      <c r="F280" s="11">
        <v>10</v>
      </c>
      <c r="G280" s="9" t="s">
        <v>27</v>
      </c>
      <c r="H280" s="9" t="s">
        <v>30</v>
      </c>
      <c r="I280" s="11" t="s">
        <v>32</v>
      </c>
      <c r="J280" s="9" t="s">
        <v>26</v>
      </c>
      <c r="K280" s="11">
        <v>20</v>
      </c>
      <c r="L280" s="11">
        <v>10</v>
      </c>
      <c r="M280" s="11">
        <v>20</v>
      </c>
    </row>
    <row r="281" ht="16.5" customHeight="1">
      <c r="A281" s="9">
        <v>3510</v>
      </c>
      <c r="B281" s="9" t="s">
        <v>300</v>
      </c>
      <c r="C281" s="9" t="s">
        <v>29</v>
      </c>
      <c r="D281" s="10">
        <v>45627</v>
      </c>
      <c r="E281" s="9" t="s">
        <v>26</v>
      </c>
      <c r="F281" s="11">
        <v>5</v>
      </c>
      <c r="G281" s="9" t="s">
        <v>35</v>
      </c>
      <c r="H281" s="9" t="s">
        <v>30</v>
      </c>
      <c r="I281" s="11" t="s">
        <v>32</v>
      </c>
      <c r="J281" s="9" t="s">
        <v>30</v>
      </c>
      <c r="K281" s="11">
        <v>0</v>
      </c>
      <c r="L281" s="11">
        <v>0</v>
      </c>
      <c r="M281" s="11">
        <v>5</v>
      </c>
    </row>
    <row r="282" ht="16.5" customHeight="1">
      <c r="A282" s="9">
        <v>3511</v>
      </c>
      <c r="B282" s="9" t="s">
        <v>301</v>
      </c>
      <c r="C282" s="9" t="s">
        <v>25</v>
      </c>
      <c r="D282" s="10">
        <v>45628</v>
      </c>
      <c r="E282" s="9" t="s">
        <v>30</v>
      </c>
      <c r="F282" s="11">
        <v>15</v>
      </c>
      <c r="G282" s="9" t="s">
        <v>27</v>
      </c>
      <c r="H282" s="9" t="s">
        <v>26</v>
      </c>
      <c r="I282" s="11">
        <v>30</v>
      </c>
      <c r="J282" s="9" t="s">
        <v>26</v>
      </c>
      <c r="K282" s="11">
        <v>20</v>
      </c>
      <c r="L282" s="11">
        <v>15</v>
      </c>
      <c r="M282" s="11">
        <v>50</v>
      </c>
    </row>
    <row r="283" ht="16.5" customHeight="1">
      <c r="A283" s="9">
        <v>3512</v>
      </c>
      <c r="B283" s="9" t="s">
        <v>302</v>
      </c>
      <c r="C283" s="9" t="s">
        <v>34</v>
      </c>
      <c r="D283" s="10">
        <v>45629</v>
      </c>
      <c r="E283" s="9" t="s">
        <v>26</v>
      </c>
      <c r="F283" s="11">
        <v>10</v>
      </c>
      <c r="G283" s="9" t="s">
        <v>31</v>
      </c>
      <c r="H283" s="9" t="s">
        <v>30</v>
      </c>
      <c r="I283" s="11" t="s">
        <v>32</v>
      </c>
      <c r="J283" s="9" t="s">
        <v>26</v>
      </c>
      <c r="K283" s="11">
        <v>20</v>
      </c>
      <c r="L283" s="11">
        <v>15</v>
      </c>
      <c r="M283" s="11">
        <v>15</v>
      </c>
    </row>
    <row r="284" ht="16.5" customHeight="1">
      <c r="A284" s="9">
        <v>3513</v>
      </c>
      <c r="B284" s="9" t="s">
        <v>303</v>
      </c>
      <c r="C284" s="9" t="s">
        <v>29</v>
      </c>
      <c r="D284" s="10">
        <v>45630</v>
      </c>
      <c r="E284" s="9" t="s">
        <v>30</v>
      </c>
      <c r="F284" s="11">
        <v>5</v>
      </c>
      <c r="G284" s="9" t="s">
        <v>27</v>
      </c>
      <c r="H284" s="9" t="s">
        <v>30</v>
      </c>
      <c r="I284" s="11" t="s">
        <v>32</v>
      </c>
      <c r="J284" s="9" t="s">
        <v>30</v>
      </c>
      <c r="K284" s="11">
        <v>0</v>
      </c>
      <c r="L284" s="11">
        <v>1</v>
      </c>
      <c r="M284" s="11">
        <v>4</v>
      </c>
    </row>
    <row r="285" ht="16.5" customHeight="1">
      <c r="A285" s="9">
        <v>3514</v>
      </c>
      <c r="B285" s="9" t="s">
        <v>304</v>
      </c>
      <c r="C285" s="9" t="s">
        <v>25</v>
      </c>
      <c r="D285" s="10">
        <v>45631</v>
      </c>
      <c r="E285" s="9" t="s">
        <v>26</v>
      </c>
      <c r="F285" s="11">
        <v>15</v>
      </c>
      <c r="G285" s="9" t="s">
        <v>35</v>
      </c>
      <c r="H285" s="9" t="s">
        <v>26</v>
      </c>
      <c r="I285" s="11">
        <v>30</v>
      </c>
      <c r="J285" s="9" t="s">
        <v>26</v>
      </c>
      <c r="K285" s="11">
        <v>20</v>
      </c>
      <c r="L285" s="11">
        <v>7</v>
      </c>
      <c r="M285" s="11">
        <v>58</v>
      </c>
    </row>
    <row r="286" ht="16.5" customHeight="1">
      <c r="A286" s="9">
        <v>3515</v>
      </c>
      <c r="B286" s="9" t="s">
        <v>163</v>
      </c>
      <c r="C286" s="9" t="s">
        <v>34</v>
      </c>
      <c r="D286" s="10">
        <v>45632</v>
      </c>
      <c r="E286" s="9" t="s">
        <v>30</v>
      </c>
      <c r="F286" s="11">
        <v>10</v>
      </c>
      <c r="G286" s="9" t="s">
        <v>27</v>
      </c>
      <c r="H286" s="9" t="s">
        <v>30</v>
      </c>
      <c r="I286" s="11" t="s">
        <v>32</v>
      </c>
      <c r="J286" s="9" t="s">
        <v>26</v>
      </c>
      <c r="K286" s="11">
        <v>20</v>
      </c>
      <c r="L286" s="11">
        <v>10</v>
      </c>
      <c r="M286" s="11">
        <v>20</v>
      </c>
    </row>
    <row r="287" ht="16.5" customHeight="1">
      <c r="A287" s="9">
        <v>3516</v>
      </c>
      <c r="B287" s="9" t="s">
        <v>164</v>
      </c>
      <c r="C287" s="9" t="s">
        <v>29</v>
      </c>
      <c r="D287" s="10">
        <v>45633</v>
      </c>
      <c r="E287" s="9" t="s">
        <v>26</v>
      </c>
      <c r="F287" s="11">
        <v>5</v>
      </c>
      <c r="G287" s="9" t="s">
        <v>31</v>
      </c>
      <c r="H287" s="9" t="s">
        <v>30</v>
      </c>
      <c r="I287" s="11" t="s">
        <v>32</v>
      </c>
      <c r="J287" s="9" t="s">
        <v>30</v>
      </c>
      <c r="K287" s="11">
        <v>0</v>
      </c>
      <c r="L287" s="11">
        <v>0</v>
      </c>
      <c r="M287" s="11">
        <v>5</v>
      </c>
    </row>
    <row r="288" ht="16.5" customHeight="1">
      <c r="A288" s="9">
        <v>3517</v>
      </c>
      <c r="B288" s="9" t="s">
        <v>214</v>
      </c>
      <c r="C288" s="9" t="s">
        <v>25</v>
      </c>
      <c r="D288" s="10">
        <v>45634</v>
      </c>
      <c r="E288" s="9" t="s">
        <v>30</v>
      </c>
      <c r="F288" s="11">
        <v>15</v>
      </c>
      <c r="G288" s="9" t="s">
        <v>27</v>
      </c>
      <c r="H288" s="9" t="s">
        <v>26</v>
      </c>
      <c r="I288" s="11">
        <v>30</v>
      </c>
      <c r="J288" s="9" t="s">
        <v>26</v>
      </c>
      <c r="K288" s="11">
        <v>20</v>
      </c>
      <c r="L288" s="11">
        <v>20</v>
      </c>
      <c r="M288" s="11">
        <v>45</v>
      </c>
    </row>
    <row r="289" ht="16.5" customHeight="1">
      <c r="A289" s="9">
        <v>3518</v>
      </c>
      <c r="B289" s="9" t="s">
        <v>305</v>
      </c>
      <c r="C289" s="9" t="s">
        <v>34</v>
      </c>
      <c r="D289" s="10">
        <v>45635</v>
      </c>
      <c r="E289" s="9" t="s">
        <v>26</v>
      </c>
      <c r="F289" s="11">
        <v>10</v>
      </c>
      <c r="G289" s="9" t="s">
        <v>35</v>
      </c>
      <c r="H289" s="9" t="s">
        <v>30</v>
      </c>
      <c r="I289" s="11" t="s">
        <v>32</v>
      </c>
      <c r="J289" s="9" t="s">
        <v>26</v>
      </c>
      <c r="K289" s="11">
        <v>20</v>
      </c>
      <c r="L289" s="11">
        <v>12</v>
      </c>
      <c r="M289" s="11">
        <v>18</v>
      </c>
    </row>
    <row r="290" ht="16.5" customHeight="1">
      <c r="A290" s="9">
        <v>3519</v>
      </c>
      <c r="B290" s="9" t="s">
        <v>306</v>
      </c>
      <c r="C290" s="9" t="s">
        <v>29</v>
      </c>
      <c r="D290" s="10">
        <v>45636</v>
      </c>
      <c r="E290" s="9" t="s">
        <v>30</v>
      </c>
      <c r="F290" s="11">
        <v>5</v>
      </c>
      <c r="G290" s="9" t="s">
        <v>27</v>
      </c>
      <c r="H290" s="9" t="s">
        <v>30</v>
      </c>
      <c r="I290" s="11" t="s">
        <v>32</v>
      </c>
      <c r="J290" s="9" t="s">
        <v>30</v>
      </c>
      <c r="K290" s="11">
        <v>0</v>
      </c>
      <c r="L290" s="11">
        <v>2</v>
      </c>
      <c r="M290" s="11">
        <v>3</v>
      </c>
    </row>
    <row r="291" ht="16.5" customHeight="1">
      <c r="A291" s="9">
        <v>3520</v>
      </c>
      <c r="B291" s="9" t="s">
        <v>307</v>
      </c>
      <c r="C291" s="9" t="s">
        <v>25</v>
      </c>
      <c r="D291" s="10">
        <v>45637</v>
      </c>
      <c r="E291" s="9" t="s">
        <v>26</v>
      </c>
      <c r="F291" s="11">
        <v>15</v>
      </c>
      <c r="G291" s="9" t="s">
        <v>31</v>
      </c>
      <c r="H291" s="9" t="s">
        <v>26</v>
      </c>
      <c r="I291" s="11">
        <v>30</v>
      </c>
      <c r="J291" s="9" t="s">
        <v>26</v>
      </c>
      <c r="K291" s="11">
        <v>20</v>
      </c>
      <c r="L291" s="11">
        <v>5</v>
      </c>
      <c r="M291" s="11">
        <v>60</v>
      </c>
    </row>
    <row r="292" ht="16.5" customHeight="1">
      <c r="A292" s="9">
        <v>3521</v>
      </c>
      <c r="B292" s="9" t="s">
        <v>308</v>
      </c>
      <c r="C292" s="9" t="s">
        <v>34</v>
      </c>
      <c r="D292" s="10">
        <v>45638</v>
      </c>
      <c r="E292" s="9" t="s">
        <v>30</v>
      </c>
      <c r="F292" s="11">
        <v>10</v>
      </c>
      <c r="G292" s="9" t="s">
        <v>27</v>
      </c>
      <c r="H292" s="9" t="s">
        <v>30</v>
      </c>
      <c r="I292" s="11" t="s">
        <v>32</v>
      </c>
      <c r="J292" s="9" t="s">
        <v>26</v>
      </c>
      <c r="K292" s="11">
        <v>20</v>
      </c>
      <c r="L292" s="11">
        <v>10</v>
      </c>
      <c r="M292" s="11">
        <v>20</v>
      </c>
    </row>
    <row r="293" ht="16.5" customHeight="1">
      <c r="A293" s="9">
        <v>3522</v>
      </c>
      <c r="B293" s="9" t="s">
        <v>309</v>
      </c>
      <c r="C293" s="9" t="s">
        <v>29</v>
      </c>
      <c r="D293" s="10">
        <v>45639</v>
      </c>
      <c r="E293" s="9" t="s">
        <v>26</v>
      </c>
      <c r="F293" s="11">
        <v>5</v>
      </c>
      <c r="G293" s="9" t="s">
        <v>35</v>
      </c>
      <c r="H293" s="9" t="s">
        <v>30</v>
      </c>
      <c r="I293" s="11" t="s">
        <v>32</v>
      </c>
      <c r="J293" s="9" t="s">
        <v>30</v>
      </c>
      <c r="K293" s="11">
        <v>0</v>
      </c>
      <c r="L293" s="11">
        <v>0</v>
      </c>
      <c r="M293" s="11">
        <v>5</v>
      </c>
    </row>
    <row r="294" ht="16.5" customHeight="1">
      <c r="A294" s="9">
        <v>3523</v>
      </c>
      <c r="B294" s="9" t="s">
        <v>310</v>
      </c>
      <c r="C294" s="9" t="s">
        <v>25</v>
      </c>
      <c r="D294" s="10">
        <v>45640</v>
      </c>
      <c r="E294" s="9" t="s">
        <v>30</v>
      </c>
      <c r="F294" s="11">
        <v>15</v>
      </c>
      <c r="G294" s="9" t="s">
        <v>27</v>
      </c>
      <c r="H294" s="9" t="s">
        <v>26</v>
      </c>
      <c r="I294" s="11">
        <v>30</v>
      </c>
      <c r="J294" s="9" t="s">
        <v>26</v>
      </c>
      <c r="K294" s="11">
        <v>20</v>
      </c>
      <c r="L294" s="11">
        <v>3</v>
      </c>
      <c r="M294" s="11">
        <v>62</v>
      </c>
    </row>
    <row r="295" ht="16.5" customHeight="1">
      <c r="A295" s="9">
        <v>3524</v>
      </c>
      <c r="B295" s="9" t="s">
        <v>311</v>
      </c>
      <c r="C295" s="9" t="s">
        <v>34</v>
      </c>
      <c r="D295" s="10">
        <v>45641</v>
      </c>
      <c r="E295" s="9" t="s">
        <v>26</v>
      </c>
      <c r="F295" s="11">
        <v>10</v>
      </c>
      <c r="G295" s="9" t="s">
        <v>31</v>
      </c>
      <c r="H295" s="9" t="s">
        <v>30</v>
      </c>
      <c r="I295" s="11" t="s">
        <v>32</v>
      </c>
      <c r="J295" s="9" t="s">
        <v>26</v>
      </c>
      <c r="K295" s="11">
        <v>20</v>
      </c>
      <c r="L295" s="11">
        <v>15</v>
      </c>
      <c r="M295" s="11">
        <v>15</v>
      </c>
    </row>
    <row r="296" ht="16.5" customHeight="1">
      <c r="A296" s="9">
        <v>3525</v>
      </c>
      <c r="B296" s="9" t="s">
        <v>312</v>
      </c>
      <c r="C296" s="9" t="s">
        <v>29</v>
      </c>
      <c r="D296" s="10">
        <v>45642</v>
      </c>
      <c r="E296" s="9" t="s">
        <v>30</v>
      </c>
      <c r="F296" s="11">
        <v>5</v>
      </c>
      <c r="G296" s="9" t="s">
        <v>27</v>
      </c>
      <c r="H296" s="9" t="s">
        <v>30</v>
      </c>
      <c r="I296" s="11" t="s">
        <v>32</v>
      </c>
      <c r="J296" s="9" t="s">
        <v>30</v>
      </c>
      <c r="K296" s="11">
        <v>0</v>
      </c>
      <c r="L296" s="11">
        <v>1</v>
      </c>
      <c r="M296" s="11">
        <v>4</v>
      </c>
    </row>
  </sheetData>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theme="3" tint="0.749992370372631"/>
    <outlinePr applyStyles="0" summaryBelow="1" summaryRight="1" showOutlineSymbols="1"/>
    <pageSetUpPr autoPageBreaks="1" fitToPage="0"/>
  </sheetPr>
  <sheetViews>
    <sheetView showGridLines="0" topLeftCell="A2" zoomScale="100" workbookViewId="0">
      <selection activeCell="E7" activeCellId="0" sqref="E7"/>
    </sheetView>
  </sheetViews>
  <sheetFormatPr defaultRowHeight="14.25"/>
  <cols>
    <col customWidth="1" min="1" max="1" style="12" width="31"/>
    <col customWidth="1" min="2" max="2" style="13" width="1.5703125"/>
    <col customWidth="1" min="3" max="3" width="59.5703125"/>
    <col customWidth="1" min="4" max="4" width="18.28515625"/>
    <col bestFit="1" customWidth="1" min="5" max="5" width="17.140625"/>
    <col bestFit="1" customWidth="1" min="6" max="6" width="26.85546875"/>
    <col bestFit="1" customWidth="1" min="7" max="7" width="9"/>
    <col bestFit="1" customWidth="1" min="8" max="9" width="4.5703125"/>
    <col customWidth="1" hidden="1" min="10" max="10" width="4.5703125"/>
    <col bestFit="1" customWidth="1" min="11" max="11" width="18.140625"/>
    <col bestFit="1" customWidth="1" min="12" max="12" width="26.85546875"/>
    <col bestFit="1" customWidth="1" min="13" max="13" width="17.28515625"/>
    <col bestFit="1" customWidth="1" min="14" max="14" width="7.28515625"/>
    <col bestFit="1" customWidth="1" min="15" max="15" width="9.140625"/>
    <col bestFit="1" customWidth="1" min="16" max="17" width="4.5703125"/>
    <col bestFit="1" min="18" max="37" width="4.5703125"/>
    <col bestFit="1" min="38" max="38" width="10.421875"/>
    <col bestFit="1" min="39" max="39" width="34.625"/>
    <col bestFit="1" min="40" max="297" width="4.5703125"/>
    <col bestFit="1" min="298" max="298" width="9.7109375"/>
  </cols>
  <sheetData>
    <row r="1">
      <c r="B1" s="14"/>
    </row>
    <row r="2" ht="56.450000000000003" customHeight="1">
      <c r="B2" s="14"/>
      <c r="C2" s="15" t="s">
        <v>313</v>
      </c>
      <c r="D2" s="16"/>
      <c r="E2" s="16"/>
    </row>
    <row r="3">
      <c r="B3" s="14"/>
    </row>
    <row r="4" s="17" customFormat="1">
      <c r="A4" s="12"/>
      <c r="B4" s="13"/>
    </row>
    <row r="5" s="17" customFormat="1">
      <c r="A5" s="12"/>
      <c r="B5" s="13"/>
    </row>
    <row r="6" s="17" customFormat="1">
      <c r="A6" s="12"/>
      <c r="B6" s="13"/>
    </row>
    <row r="7" s="17" customFormat="1">
      <c r="A7" s="12"/>
      <c r="B7" s="13"/>
      <c r="E7" s="17" t="s">
        <v>314</v>
      </c>
    </row>
    <row r="8" s="17" customFormat="1" ht="59.399999999999999" customHeight="1">
      <c r="A8" s="12"/>
      <c r="B8" s="13"/>
      <c r="C8" s="18">
        <f>AM413</f>
        <v>990</v>
      </c>
    </row>
    <row r="9" s="17" customFormat="1">
      <c r="A9" s="12"/>
      <c r="B9" s="13"/>
      <c r="C9" s="19"/>
      <c r="E9" s="20"/>
    </row>
    <row r="10" s="17" customFormat="1">
      <c r="A10" s="12"/>
      <c r="B10" s="13"/>
      <c r="C10" s="19"/>
      <c r="D10" s="19"/>
    </row>
    <row r="11" s="17" customFormat="1">
      <c r="A11" s="12"/>
      <c r="B11" s="13"/>
      <c r="D11" s="19"/>
      <c r="E11" s="19"/>
    </row>
    <row r="12" s="17" customFormat="1">
      <c r="A12" s="12"/>
      <c r="B12" s="13"/>
      <c r="D12" s="19"/>
      <c r="E12" s="19"/>
    </row>
    <row r="13" s="17" customFormat="1">
      <c r="A13" s="12"/>
      <c r="B13" s="13"/>
      <c r="D13" s="19"/>
      <c r="E13" s="19"/>
    </row>
    <row r="14" s="17" customFormat="1">
      <c r="A14" s="12"/>
      <c r="B14" s="13"/>
    </row>
    <row r="15" s="17" customFormat="1" ht="59.399999999999999" customHeight="1">
      <c r="A15" s="12"/>
      <c r="B15" s="13"/>
      <c r="C15" s="21">
        <f>AM426</f>
        <v>1800</v>
      </c>
    </row>
    <row r="16" s="17" customFormat="1">
      <c r="A16" s="12"/>
      <c r="B16" s="13"/>
    </row>
    <row r="17" s="17" customFormat="1">
      <c r="A17" s="12"/>
      <c r="B17" s="13"/>
    </row>
    <row r="18" s="17" customFormat="1">
      <c r="A18" s="12"/>
      <c r="B18" s="13"/>
    </row>
    <row r="19" s="17" customFormat="1">
      <c r="A19" s="12"/>
      <c r="B19" s="13"/>
    </row>
    <row r="20" s="17" customFormat="1">
      <c r="A20" s="12"/>
      <c r="B20" s="13"/>
    </row>
    <row r="21" s="17" customFormat="1">
      <c r="A21" s="12"/>
      <c r="B21" s="13"/>
      <c r="C21" s="20"/>
    </row>
    <row r="22" s="17" customFormat="1">
      <c r="A22" s="12"/>
      <c r="B22" s="13"/>
    </row>
    <row r="23" s="17" customFormat="1">
      <c r="A23" s="12"/>
      <c r="B23" s="13"/>
    </row>
    <row r="24" s="17" customFormat="1">
      <c r="A24" s="12"/>
      <c r="B24" s="13"/>
    </row>
    <row r="25" s="17" customFormat="1">
      <c r="A25" s="12"/>
      <c r="B25" s="13"/>
    </row>
    <row r="26" s="17" customFormat="1">
      <c r="A26" s="12"/>
      <c r="B26" s="13"/>
    </row>
    <row r="27" s="17" customFormat="1">
      <c r="A27" s="12"/>
      <c r="B27" s="13"/>
    </row>
    <row r="28" s="17" customFormat="1">
      <c r="A28" s="12"/>
      <c r="B28" s="13"/>
    </row>
    <row r="29" s="17" customFormat="1">
      <c r="A29" s="12"/>
      <c r="B29" s="13"/>
    </row>
    <row r="30" s="17" customFormat="1">
      <c r="A30" s="12"/>
      <c r="B30" s="13"/>
    </row>
    <row r="31" s="17" customFormat="1">
      <c r="A31" s="12"/>
      <c r="B31" s="13"/>
    </row>
    <row r="32" s="17" customFormat="1">
      <c r="A32" s="12"/>
      <c r="B32" s="13"/>
    </row>
    <row r="33" s="17" customFormat="1">
      <c r="A33" s="12"/>
      <c r="B33" s="13"/>
    </row>
    <row r="34" s="17" customFormat="1">
      <c r="A34" s="12"/>
      <c r="B34" s="13"/>
    </row>
    <row r="35" s="17" customFormat="1">
      <c r="A35" s="12"/>
      <c r="B35" s="13"/>
    </row>
    <row r="36" s="17" customFormat="1">
      <c r="A36" s="12"/>
      <c r="B36" s="13"/>
    </row>
    <row r="37" s="17" customFormat="1">
      <c r="A37" s="12"/>
      <c r="B37" s="13"/>
    </row>
    <row r="38" s="17" customFormat="1">
      <c r="A38" s="12"/>
      <c r="B38" s="13"/>
    </row>
    <row r="39" s="17" customFormat="1">
      <c r="A39" s="12"/>
      <c r="B39" s="13"/>
    </row>
    <row r="40" s="17" customFormat="1">
      <c r="A40" s="12"/>
      <c r="B40" s="13"/>
    </row>
    <row r="41" s="17" customFormat="1">
      <c r="A41" s="12"/>
      <c r="B41" s="13"/>
    </row>
    <row r="42" s="17" customFormat="1">
      <c r="A42" s="12"/>
      <c r="B42" s="13"/>
    </row>
    <row r="43" s="17" customFormat="1">
      <c r="A43" s="12"/>
      <c r="B43" s="13"/>
    </row>
    <row r="44" s="17" customFormat="1">
      <c r="A44" s="12"/>
      <c r="B44" s="13"/>
    </row>
    <row r="45" s="17" customFormat="1">
      <c r="A45" s="12"/>
      <c r="B45" s="13"/>
    </row>
    <row r="46" s="17" customFormat="1">
      <c r="A46" s="12"/>
      <c r="B46" s="13"/>
    </row>
    <row r="47" s="17" customFormat="1">
      <c r="A47" s="12"/>
      <c r="B47" s="13"/>
    </row>
    <row r="48" s="17" customFormat="1">
      <c r="A48" s="12"/>
      <c r="B48" s="13"/>
    </row>
    <row r="49" s="17" customFormat="1">
      <c r="A49" s="12"/>
      <c r="B49" s="13"/>
    </row>
    <row r="50" s="17" customFormat="1">
      <c r="A50" s="12"/>
      <c r="B50" s="13"/>
    </row>
    <row r="397" ht="14.25">
      <c r="AL397" t="s">
        <v>17</v>
      </c>
      <c r="AM397" t="s">
        <v>315</v>
      </c>
    </row>
    <row r="398" ht="14.25">
      <c r="AL398" t="s">
        <v>31</v>
      </c>
      <c r="AM398" s="22">
        <v>1754</v>
      </c>
    </row>
    <row r="399" ht="14.25">
      <c r="AL399" t="s">
        <v>316</v>
      </c>
      <c r="AM399" s="22">
        <v>1754</v>
      </c>
    </row>
    <row r="406" ht="14.25">
      <c r="AL406" t="s">
        <v>17</v>
      </c>
      <c r="AM406" t="s">
        <v>35</v>
      </c>
    </row>
    <row r="408" ht="14.25">
      <c r="AL408" t="s">
        <v>13</v>
      </c>
      <c r="AM408" t="s">
        <v>317</v>
      </c>
    </row>
    <row r="409" ht="14.25">
      <c r="AL409" t="s">
        <v>29</v>
      </c>
      <c r="AM409">
        <v>0</v>
      </c>
    </row>
    <row r="410" ht="14.25">
      <c r="AL410" t="s">
        <v>34</v>
      </c>
      <c r="AM410">
        <v>0</v>
      </c>
    </row>
    <row r="411" ht="14.25">
      <c r="AL411" t="s">
        <v>25</v>
      </c>
      <c r="AM411">
        <v>990</v>
      </c>
    </row>
    <row r="412" ht="14.25">
      <c r="AL412" t="s">
        <v>316</v>
      </c>
      <c r="AM412">
        <v>990</v>
      </c>
    </row>
    <row r="413" ht="14.25">
      <c r="AM413" s="23">
        <f>GETPIVOTDATA("EA Play Season Pass Price",$AL$408)</f>
        <v>990</v>
      </c>
    </row>
    <row r="416" ht="14.25">
      <c r="AL416" s="24"/>
    </row>
    <row r="419" ht="14.25">
      <c r="AL419" t="s">
        <v>17</v>
      </c>
      <c r="AM419" t="s">
        <v>27</v>
      </c>
    </row>
    <row r="421" ht="14.25">
      <c r="AL421" t="s">
        <v>13</v>
      </c>
      <c r="AM421" t="s">
        <v>318</v>
      </c>
    </row>
    <row r="422" ht="14.25">
      <c r="AL422" t="s">
        <v>29</v>
      </c>
      <c r="AM422" s="22">
        <v>0</v>
      </c>
    </row>
    <row r="423" ht="14.25">
      <c r="AL423" t="s">
        <v>34</v>
      </c>
      <c r="AM423" s="22">
        <v>900</v>
      </c>
    </row>
    <row r="424" ht="14.25">
      <c r="AL424" t="s">
        <v>25</v>
      </c>
      <c r="AM424" s="22">
        <v>900</v>
      </c>
    </row>
    <row r="425" ht="14.25">
      <c r="AL425" t="s">
        <v>316</v>
      </c>
      <c r="AM425" s="22">
        <v>1800</v>
      </c>
    </row>
    <row r="426" ht="14.25">
      <c r="AM426">
        <f>GETPIVOTDATA("Minecraft Season Pass Price",$AL$421)</f>
        <v>1800</v>
      </c>
    </row>
  </sheetData>
  <printOptions headings="0" gridLines="0"/>
  <pageMargins left="0.511811024" right="0.511811024" top="0.78740157500000008" bottom="0.78740157500000008" header="0.31496062000000014" footer="0.31496062000000014"/>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A8765BA9-456A-4dab-B4F3-ACF838C121DE}">
      <x14:slicerList xmlns:x14="http://schemas.microsoft.com/office/spreadsheetml/2009/9/main">
        <x14:slicer r:id="rId2"/>
      </x14:slicerList>
    </ext>
  </extLst>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51b35d3-0456-4d6a-bc2f-da927e91d158">
      <Terms xmlns="http://schemas.microsoft.com/office/infopath/2007/PartnerControls"/>
    </lcf76f155ced4ddcb4097134ff3c332f>
    <TaxCatchAll xmlns="19483571-f922-4e8e-9c1c-26f0a225213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01E48B58A68BE64E9120D347E3E06B3A" ma:contentTypeVersion="19" ma:contentTypeDescription="Crie um novo documento." ma:contentTypeScope="" ma:versionID="2f90046ec77328b7f86417d2e03b3d33">
  <xsd:schema xmlns:xsd="http://www.w3.org/2001/XMLSchema" xmlns:xs="http://www.w3.org/2001/XMLSchema" xmlns:p="http://schemas.microsoft.com/office/2006/metadata/properties" xmlns:ns2="851b35d3-0456-4d6a-bc2f-da927e91d158" xmlns:ns3="19483571-f922-4e8e-9c1c-26f0a2252132" targetNamespace="http://schemas.microsoft.com/office/2006/metadata/properties" ma:root="true" ma:fieldsID="c815006ac2d4f05ee97fdd57e40d8e38" ns2:_="" ns3:_="">
    <xsd:import namespace="851b35d3-0456-4d6a-bc2f-da927e91d158"/>
    <xsd:import namespace="19483571-f922-4e8e-9c1c-26f0a225213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b35d3-0456-4d6a-bc2f-da927e91d1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Marcações de imagem" ma:readOnly="false" ma:fieldId="{5cf76f15-5ced-4ddc-b409-7134ff3c332f}" ma:taxonomyMulti="true" ma:sspId="44a7fbd4-9dae-4371-bb8c-f658cfc5cb1c"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9483571-f922-4e8e-9c1c-26f0a2252132"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1" nillable="true" ma:displayName="Taxonomy Catch All Column" ma:hidden="true" ma:list="{a4ca5b0e-bf34-4fb2-bc21-1657b419a556}" ma:internalName="TaxCatchAll" ma:showField="CatchAllData" ma:web="19483571-f922-4e8e-9c1c-26f0a225213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This value indicates the number of saves or revisions. The application is responsible for updating this value after each revision.</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FD3D529-BCD3-4ECD-9B2A-42924892FFCB}">
  <ds:schemaRefs>
    <ds:schemaRef ds:uri="http://schemas.microsoft.com/office/2006/metadata/properties"/>
    <ds:schemaRef ds:uri="http://www.w3.org/2001/XMLSchema-instance"/>
    <ds:schemaRef ds:uri="http://schemas.microsoft.com/office/infopath/2007/PartnerControls"/>
    <ds:schemaRef ds:uri="851b35d3-0456-4d6a-bc2f-da927e91d158"/>
    <ds:schemaRef ds:uri="19483571-f922-4e8e-9c1c-26f0a2252132"/>
  </ds:schemaRefs>
</ds:datastoreItem>
</file>

<file path=customXml/itemProps2.xml><?xml version="1.0" encoding="utf-8"?>
<ds:datastoreItem xmlns:ds="http://schemas.openxmlformats.org/officeDocument/2006/customXml" ds:itemID="{32608D25-EC36-42FE-A1DC-F778995A67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b35d3-0456-4d6a-bc2f-da927e91d158"/>
    <ds:schemaRef ds:uri="19483571-f922-4e8e-9c1c-26f0a2252132"/>
    <ds:schemaRef ds:uri="http://schemas.microsoft.com/office/2006/documentManagement/types"/>
    <ds:schemaRef ds:uri="http://schemas.microsoft.com/office/infopath/2007/PartnerControls"/>
    <ds:schemaRef ds:uri="http://schemas.openxmlformats.org/package/2006/metadata/core-properties"/>
    <ds:schemaRef ds:uri="http://www.w3.org/2001/XMLSchema-instance"/>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3B4D9D5-B351-46EB-A728-C3362FE437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Hello</dc:creator>
  <cp:keywords/>
  <dc:description/>
  <cp:revision>6</cp:revision>
  <dcterms:created xsi:type="dcterms:W3CDTF">2024-12-19T13:13:10Z</dcterms:created>
  <dcterms:modified xsi:type="dcterms:W3CDTF">2025-11-14T21:24:51Z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